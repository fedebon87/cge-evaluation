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pivotCache/pivotCacheDefinition6.xml" ContentType="application/vnd.openxmlformats-officedocument.spreadsheetml.pivotCacheDefinition+xml"/>
  <Override PartName="/xl/pivotCache/pivotCacheDefinition7.xml" ContentType="application/vnd.openxmlformats-officedocument.spreadsheetml.pivotCacheDefinition+xml"/>
  <Override PartName="/xl/pivotCache/pivotCacheDefinition8.xml" ContentType="application/vnd.openxmlformats-officedocument.spreadsheetml.pivotCacheDefinition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customXml/itemProps24.xml" ContentType="application/vnd.openxmlformats-officedocument.customXmlProperties+xml"/>
  <Override PartName="/customXml/itemProps25.xml" ContentType="application/vnd.openxmlformats-officedocument.customXmlProperties+xml"/>
  <Override PartName="/customXml/itemProps26.xml" ContentType="application/vnd.openxmlformats-officedocument.customXmlProperties+xml"/>
  <Override PartName="/customXml/itemProps27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814db0bc96b364d5/Documenti/GitHub/Epicool/"/>
    </mc:Choice>
  </mc:AlternateContent>
  <xr:revisionPtr revIDLastSave="192" documentId="13_ncr:1_{86AB6F6A-19F9-43D6-B989-E8CFB57FB343}" xr6:coauthVersionLast="47" xr6:coauthVersionMax="47" xr10:uidLastSave="{97A93C61-C38D-48C1-9FE4-202CC3444492}"/>
  <bookViews>
    <workbookView xWindow="-120" yWindow="-16320" windowWidth="29040" windowHeight="15720" tabRatio="706" xr2:uid="{11D7C691-A8B0-49B9-BC93-5B4E0DF810BB}"/>
  </bookViews>
  <sheets>
    <sheet name="Home" sheetId="7" r:id="rId1"/>
    <sheet name="Report" sheetId="10" r:id="rId2"/>
    <sheet name="Ricerca" sheetId="6" r:id="rId3"/>
    <sheet name="Inserimento" sheetId="4" r:id="rId4"/>
    <sheet name="Corsi" sheetId="1" state="hidden" r:id="rId5"/>
    <sheet name="Docenti" sheetId="2" state="hidden" r:id="rId6"/>
    <sheet name="Sedi" sheetId="3" state="hidden" r:id="rId7"/>
    <sheet name="Foglio tecnico" sheetId="8" state="veryHidden" r:id="rId8"/>
  </sheets>
  <definedNames>
    <definedName name="_xlnm.Print_Area" localSheetId="1">Report!$B$1:$Z$78</definedName>
    <definedName name="Lista_Docenti">Docenti[Nominativo]</definedName>
    <definedName name="Lista_Materie">_xlfn.ANCHORARRAY(#REF!)</definedName>
    <definedName name="Lista_Sedi">Sedi[Aula]</definedName>
    <definedName name="Slicer_Coefficienti">#N/A</definedName>
    <definedName name="Slicer_Docente">#N/A</definedName>
    <definedName name="Slicer_Sede">#N/A</definedName>
  </definedNames>
  <calcPr calcId="191029"/>
  <pivotCaches>
    <pivotCache cacheId="357" r:id="rId9"/>
    <pivotCache cacheId="360" r:id="rId10"/>
    <pivotCache cacheId="363" r:id="rId11"/>
    <pivotCache cacheId="366" r:id="rId12"/>
    <pivotCache cacheId="369" r:id="rId13"/>
    <pivotCache cacheId="372" r:id="rId14"/>
    <pivotCache cacheId="375" r:id="rId15"/>
  </pivotCaches>
  <extLst>
    <ext xmlns:x14="http://schemas.microsoft.com/office/spreadsheetml/2009/9/main" uri="{876F7934-8845-4945-9796-88D515C7AA90}">
      <x14:pivotCaches>
        <pivotCache cacheId="356" r:id="rId16"/>
      </x14:pivotCaches>
    </ext>
    <ext xmlns:x14="http://schemas.microsoft.com/office/spreadsheetml/2009/9/main" uri="{BBE1A952-AA13-448e-AADC-164F8A28A991}">
      <x14:slicerCaches>
        <x14:slicerCache r:id="rId17"/>
        <x14:slicerCache r:id="rId18"/>
        <x14:slicerCache r:id="rId1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Corsi_33a3bf27-f4cc-4da8-aa65-4bf3a41aea82" name="Corsi" connection="Query - Corsi"/>
          <x15:modelTable id="Docenti_1a32c5f3-7600-4047-aa81-a95a6b671bef" name="Docenti" connection="Query - Docenti"/>
          <x15:modelTable id="Sedi_ade5b1c7-4977-418e-8975-3e51921027c8" name="Sedi" connection="Query - Sedi"/>
          <x15:modelTable id="Coefficienti_735e7f3c-f01e-432c-b34f-93e348fbeade" name="Coefficienti" connection="Query - Coefficienti"/>
        </x15:modelTables>
        <x15:modelRelationships>
          <x15:modelRelationship fromTable="Corsi" fromColumn="Sede" toTable="Sedi" toColumn="Aula"/>
          <x15:modelRelationship fromTable="Corsi" fromColumn="Docente" toTable="Docenti" toColumn="Nominativo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2" i="1" l="1"/>
  <c r="J8" i="6" a="1"/>
  <c r="J8" i="6" s="1"/>
  <c r="G8" i="6" a="1"/>
  <c r="G8" i="6" s="1"/>
  <c r="D8" i="6" a="1"/>
  <c r="D8" i="6" s="1"/>
  <c r="B2" i="2"/>
  <c r="A8" i="1" s="1"/>
  <c r="B3" i="2"/>
  <c r="A17" i="1" s="1"/>
  <c r="B4" i="2"/>
  <c r="A24" i="1" s="1"/>
  <c r="B5" i="2"/>
  <c r="A15" i="1" s="1"/>
  <c r="B6" i="2"/>
  <c r="A23" i="1" s="1"/>
  <c r="B7" i="2"/>
  <c r="A31" i="1" s="1"/>
  <c r="B8" i="2"/>
  <c r="B9" i="2"/>
  <c r="A7" i="1" s="1"/>
  <c r="B10" i="2"/>
  <c r="A16" i="1" s="1"/>
  <c r="B11" i="2"/>
  <c r="A28" i="1" s="1"/>
  <c r="G3" i="1"/>
  <c r="E3" i="1" s="1"/>
  <c r="G4" i="1"/>
  <c r="E4" i="1" s="1"/>
  <c r="G5" i="1"/>
  <c r="E5" i="1" s="1"/>
  <c r="G6" i="1"/>
  <c r="E6" i="1" s="1"/>
  <c r="G7" i="1"/>
  <c r="E7" i="1" s="1"/>
  <c r="G8" i="1"/>
  <c r="E8" i="1" s="1"/>
  <c r="G9" i="1"/>
  <c r="E9" i="1" s="1"/>
  <c r="G10" i="1"/>
  <c r="E10" i="1" s="1"/>
  <c r="G11" i="1"/>
  <c r="E11" i="1" s="1"/>
  <c r="G12" i="1"/>
  <c r="E12" i="1" s="1"/>
  <c r="G13" i="1"/>
  <c r="E13" i="1" s="1"/>
  <c r="G14" i="1"/>
  <c r="E14" i="1" s="1"/>
  <c r="G15" i="1"/>
  <c r="E15" i="1" s="1"/>
  <c r="G16" i="1"/>
  <c r="E16" i="1" s="1"/>
  <c r="G17" i="1"/>
  <c r="E17" i="1" s="1"/>
  <c r="G18" i="1"/>
  <c r="E18" i="1" s="1"/>
  <c r="G19" i="1"/>
  <c r="E19" i="1" s="1"/>
  <c r="G20" i="1"/>
  <c r="E20" i="1" s="1"/>
  <c r="G21" i="1"/>
  <c r="E21" i="1" s="1"/>
  <c r="G22" i="1"/>
  <c r="E22" i="1" s="1"/>
  <c r="G23" i="1"/>
  <c r="E23" i="1" s="1"/>
  <c r="G24" i="1"/>
  <c r="E24" i="1" s="1"/>
  <c r="G25" i="1"/>
  <c r="E25" i="1" s="1"/>
  <c r="G26" i="1"/>
  <c r="E26" i="1" s="1"/>
  <c r="G27" i="1"/>
  <c r="E27" i="1" s="1"/>
  <c r="G28" i="1"/>
  <c r="E28" i="1" s="1"/>
  <c r="G29" i="1"/>
  <c r="E29" i="1" s="1"/>
  <c r="G30" i="1"/>
  <c r="E30" i="1" s="1"/>
  <c r="G31" i="1"/>
  <c r="E31" i="1" s="1"/>
  <c r="G2" i="1"/>
  <c r="E2" i="1" s="1"/>
  <c r="L27" i="10"/>
  <c r="A30" i="1" l="1"/>
  <c r="A20" i="1"/>
  <c r="A14" i="1"/>
  <c r="A4" i="1"/>
  <c r="A6" i="1"/>
  <c r="A29" i="1"/>
  <c r="A21" i="1"/>
  <c r="A13" i="1"/>
  <c r="A5" i="1"/>
  <c r="A27" i="1"/>
  <c r="A19" i="1"/>
  <c r="A11" i="1"/>
  <c r="A3" i="1"/>
  <c r="A26" i="1"/>
  <c r="A18" i="1"/>
  <c r="A10" i="1"/>
  <c r="A2" i="1"/>
  <c r="A25" i="1"/>
  <c r="A9" i="1"/>
  <c r="A12" i="1"/>
  <c r="M8" i="6" a="1"/>
  <c r="M8" i="6" s="1"/>
  <c r="P8" i="6" a="1"/>
  <c r="P8" i="6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CF546A4-C4AB-4880-A80D-D68A373CF8B3}" name="Query - Coefficienti" description="Connection to the 'Coefficienti' query in the workbook." type="100" refreshedVersion="8" minRefreshableVersion="5">
    <extLst>
      <ext xmlns:x15="http://schemas.microsoft.com/office/spreadsheetml/2010/11/main" uri="{DE250136-89BD-433C-8126-D09CA5730AF9}">
        <x15:connection id="65ad33aa-a347-4d45-a593-48317fcfb8fd"/>
      </ext>
    </extLst>
  </connection>
  <connection id="2" xr16:uid="{EDEF2F7D-36BA-48B7-A8BE-446C48F64A9E}" name="Query - Corsi" description="Connection to the 'Corsi' query in the workbook." type="100" refreshedVersion="8" minRefreshableVersion="5">
    <extLst>
      <ext xmlns:x15="http://schemas.microsoft.com/office/spreadsheetml/2010/11/main" uri="{DE250136-89BD-433C-8126-D09CA5730AF9}">
        <x15:connection id="ebae64ab-478a-4ffe-9289-25feec0994d1"/>
      </ext>
    </extLst>
  </connection>
  <connection id="3" xr16:uid="{C80F2F03-1B2F-4C11-B857-ADDC5D9E15BB}" name="Query - Docenti" description="Connection to the 'Docenti' query in the workbook." type="100" refreshedVersion="8" minRefreshableVersion="5">
    <extLst>
      <ext xmlns:x15="http://schemas.microsoft.com/office/spreadsheetml/2010/11/main" uri="{DE250136-89BD-433C-8126-D09CA5730AF9}">
        <x15:connection id="a8909092-6cf3-41ae-a857-e462d54d0673"/>
      </ext>
    </extLst>
  </connection>
  <connection id="4" xr16:uid="{91966837-E652-4A86-B78D-32E1AB978F83}" name="Query - Sedi" description="Connection to the 'Sedi' query in the workbook." type="100" refreshedVersion="8" minRefreshableVersion="5">
    <extLst>
      <ext xmlns:x15="http://schemas.microsoft.com/office/spreadsheetml/2010/11/main" uri="{DE250136-89BD-433C-8126-D09CA5730AF9}">
        <x15:connection id="2db1002e-3dae-4c9c-91eb-32fb5cc9fb9e"/>
      </ext>
    </extLst>
  </connection>
  <connection id="5" xr16:uid="{2B1975F6-1183-4BED-9B5B-EAAE812A4904}" keepAlive="1" name="ThisWorkbookDataModel" description="Data Model" type="5" refreshedVersion="8" minRefreshableVersion="5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MDX" minSupportedVersion="120000" copy="1" pasteAll="1" pasteValues="1" merge="1" splitFirst="1" rowColShift="1" clearFormats="1" clearComments="1" assign="1" coerce="1"/>
  </metadataTypes>
  <metadataStrings count="2">
    <s v="ThisWorkbookDataModel"/>
    <s v="{[Corsi].[Docente].[All]}"/>
  </metadataStrings>
  <mdxMetadata count="1">
    <mdx n="0" f="s">
      <ms ns="1" c="0"/>
    </mdx>
  </mdxMetadata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<sst xmlns="http://schemas.openxmlformats.org/spreadsheetml/2006/main" count="295" uniqueCount="89">
  <si>
    <t>Prezzo</t>
  </si>
  <si>
    <t>Inizio</t>
  </si>
  <si>
    <t>Fine</t>
  </si>
  <si>
    <t>Docente</t>
  </si>
  <si>
    <t>Sede</t>
  </si>
  <si>
    <t>Materia</t>
  </si>
  <si>
    <t>Durata (h)</t>
  </si>
  <si>
    <t>Corso</t>
  </si>
  <si>
    <t>Bari</t>
  </si>
  <si>
    <t>Bologna</t>
  </si>
  <si>
    <t>Online</t>
  </si>
  <si>
    <t>Napoli</t>
  </si>
  <si>
    <t>Carmela Gerace</t>
  </si>
  <si>
    <t>Tullio Andreatta</t>
  </si>
  <si>
    <t>Simone Simoncelli</t>
  </si>
  <si>
    <t>Laura Balzani</t>
  </si>
  <si>
    <t>Paola De Antoniis</t>
  </si>
  <si>
    <t>Michele Turetta</t>
  </si>
  <si>
    <t>Gianpaolo Santana</t>
  </si>
  <si>
    <t>Nicola Erbetto</t>
  </si>
  <si>
    <t>Mariana Dalla Lupa</t>
  </si>
  <si>
    <t>Anna Levi</t>
  </si>
  <si>
    <t>Inglese</t>
  </si>
  <si>
    <t>Matematica</t>
  </si>
  <si>
    <t>Italiano</t>
  </si>
  <si>
    <t>Fisica</t>
  </si>
  <si>
    <t>Codice corso</t>
  </si>
  <si>
    <t>English A2</t>
  </si>
  <si>
    <t>English B1</t>
  </si>
  <si>
    <t>English B2</t>
  </si>
  <si>
    <t>Letteratura</t>
  </si>
  <si>
    <t>Grammatica</t>
  </si>
  <si>
    <t>Italiano per stranieri</t>
  </si>
  <si>
    <t>Analisi</t>
  </si>
  <si>
    <t>Geometria</t>
  </si>
  <si>
    <t>Trigonometria</t>
  </si>
  <si>
    <t>Meccanica</t>
  </si>
  <si>
    <t>Termodinamica</t>
  </si>
  <si>
    <t>Elettromagnetismo</t>
  </si>
  <si>
    <t>Prezzo orario</t>
  </si>
  <si>
    <t>Nominativo</t>
  </si>
  <si>
    <t>ID</t>
  </si>
  <si>
    <t>Residenza</t>
  </si>
  <si>
    <t>Data Nascita</t>
  </si>
  <si>
    <t>Torre del Greco</t>
  </si>
  <si>
    <t>Cadriano</t>
  </si>
  <si>
    <t>Milano</t>
  </si>
  <si>
    <t>Rho</t>
  </si>
  <si>
    <t>Molfetta</t>
  </si>
  <si>
    <t>Cuneo</t>
  </si>
  <si>
    <t>Aula</t>
  </si>
  <si>
    <t>Indirizzo</t>
  </si>
  <si>
    <t>Capienza</t>
  </si>
  <si>
    <t>Viale Salandra, 19C</t>
  </si>
  <si>
    <t>Via Oleari, 4</t>
  </si>
  <si>
    <t>Via Brombeis, 52</t>
  </si>
  <si>
    <t>www.epicool.edu</t>
  </si>
  <si>
    <t>Ore settimanali</t>
  </si>
  <si>
    <t>Dicitura corso</t>
  </si>
  <si>
    <t>Data Inizio</t>
  </si>
  <si>
    <t>Data Fine</t>
  </si>
  <si>
    <t>Nominativo Docente</t>
  </si>
  <si>
    <t>Data di nascita</t>
  </si>
  <si>
    <t>Città</t>
  </si>
  <si>
    <t>Inizio slot</t>
  </si>
  <si>
    <t>Slot orario</t>
  </si>
  <si>
    <t>Nuovo corso</t>
  </si>
  <si>
    <t>Nuovo docente</t>
  </si>
  <si>
    <t>Nuova sede</t>
  </si>
  <si>
    <t>All</t>
  </si>
  <si>
    <t>Prezzo medio</t>
  </si>
  <si>
    <t/>
  </si>
  <si>
    <t>N* di docenti</t>
  </si>
  <si>
    <t>N° di corsi</t>
  </si>
  <si>
    <t>Durata media (h)</t>
  </si>
  <si>
    <t>Prezzo totale</t>
  </si>
  <si>
    <t>Fatturato massimo</t>
  </si>
  <si>
    <t>Coefficienti</t>
  </si>
  <si>
    <t>Fatturato</t>
  </si>
  <si>
    <t>Prezzo medio per materia e per sede</t>
  </si>
  <si>
    <t>Prezzo totale per docente e per materia</t>
  </si>
  <si>
    <t>Fatturato massimo per docente e per materia</t>
  </si>
  <si>
    <t>Numero di docenti per materia</t>
  </si>
  <si>
    <t>Numero di corsi per materia</t>
  </si>
  <si>
    <t>Durata media corsi per materia (h)</t>
  </si>
  <si>
    <t>Selezione</t>
  </si>
  <si>
    <t>Proiezioni fatturato</t>
  </si>
  <si>
    <t>Totale complessivo</t>
  </si>
  <si>
    <t>Etichette di riga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</si>
</sst>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3" formatCode="_-* #,##0.00_-;\-* #,##0.00_-;_-* &quot;-&quot;??_-;_-@_-"/>
    <numFmt numFmtId="164" formatCode="#,##0.00\ [$€-410]"/>
    <numFmt numFmtId="165" formatCode="h:mm;@"/>
    <numFmt numFmtId="166" formatCode="#,##0.00\ &quot;€&quot;"/>
    <numFmt numFmtId="167" formatCode="#,##0\ &quot;€&quot;"/>
    <numFmt numFmtId="168" formatCode="#,##0.00\ &quot;€&quot;;\-#,##0.00\ &quot;€&quot;;#,##0.00\ &quot;€&quot;"/>
  </numFmts>
  <fonts count="9" x14ac:knownFonts="1">
    <font>
      <sz val="9"/>
      <color theme="1"/>
      <name val="Calibri"/>
      <family val="2"/>
    </font>
    <font>
      <b/>
      <sz val="9"/>
      <color theme="1"/>
      <name val="Calibri"/>
      <family val="2"/>
    </font>
    <font>
      <sz val="8"/>
      <name val="Calibri"/>
      <family val="2"/>
    </font>
    <font>
      <sz val="11"/>
      <color theme="1"/>
      <name val="Calibri"/>
      <family val="2"/>
    </font>
    <font>
      <b/>
      <sz val="9"/>
      <color theme="0"/>
      <name val="Calibri"/>
      <family val="2"/>
    </font>
    <font>
      <b/>
      <sz val="11"/>
      <color theme="0"/>
      <name val="Calibri"/>
      <family val="2"/>
    </font>
    <font>
      <sz val="9"/>
      <color theme="0"/>
      <name val="Calibri"/>
      <family val="2"/>
    </font>
    <font>
      <b/>
      <sz val="11"/>
      <color theme="1"/>
      <name val="Calibri"/>
      <family val="2"/>
    </font>
    <font>
      <sz val="9"/>
      <color theme="1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2ABADC"/>
        <bgColor indexed="64"/>
      </patternFill>
    </fill>
    <fill>
      <patternFill patternType="solid">
        <fgColor rgb="FF985F99"/>
        <bgColor indexed="64"/>
      </patternFill>
    </fill>
    <fill>
      <patternFill patternType="solid">
        <fgColor rgb="FFF79F79"/>
        <bgColor indexed="64"/>
      </patternFill>
    </fill>
    <fill>
      <patternFill patternType="solid">
        <fgColor rgb="FFF05D5E"/>
        <bgColor indexed="64"/>
      </patternFill>
    </fill>
    <fill>
      <patternFill patternType="solid">
        <fgColor theme="0" tint="-4.9989318521683403E-2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1F363D"/>
      </left>
      <right style="medium">
        <color rgb="FF1F363D"/>
      </right>
      <top style="medium">
        <color rgb="FF1F363D"/>
      </top>
      <bottom style="medium">
        <color rgb="FF1F363D"/>
      </bottom>
      <diagonal/>
    </border>
    <border>
      <left style="medium">
        <color rgb="FF1F363D"/>
      </left>
      <right style="medium">
        <color rgb="FF1F363D"/>
      </right>
      <top style="medium">
        <color rgb="FF1F363D"/>
      </top>
      <bottom/>
      <diagonal/>
    </border>
    <border>
      <left style="medium">
        <color rgb="FF1F363D"/>
      </left>
      <right style="medium">
        <color rgb="FF1F363D"/>
      </right>
      <top/>
      <bottom style="medium">
        <color rgb="FF1F363D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43" fontId="8" fillId="0" borderId="0" applyFont="0" applyFill="0" applyBorder="0" applyAlignment="0" applyProtection="0"/>
  </cellStyleXfs>
  <cellXfs count="41">
    <xf numFmtId="0" fontId="0" fillId="0" borderId="0" xfId="0"/>
    <xf numFmtId="0" fontId="1" fillId="0" borderId="0" xfId="0" applyFont="1"/>
    <xf numFmtId="14" fontId="0" fillId="0" borderId="0" xfId="0" applyNumberFormat="1"/>
    <xf numFmtId="164" fontId="0" fillId="0" borderId="0" xfId="0" applyNumberFormat="1"/>
    <xf numFmtId="0" fontId="3" fillId="2" borderId="0" xfId="0" applyFont="1" applyFill="1"/>
    <xf numFmtId="0" fontId="5" fillId="3" borderId="0" xfId="0" applyFont="1" applyFill="1"/>
    <xf numFmtId="165" fontId="0" fillId="0" borderId="0" xfId="0" applyNumberFormat="1"/>
    <xf numFmtId="0" fontId="5" fillId="3" borderId="1" xfId="0" applyFont="1" applyFill="1" applyBorder="1"/>
    <xf numFmtId="0" fontId="3" fillId="2" borderId="2" xfId="0" applyFont="1" applyFill="1" applyBorder="1"/>
    <xf numFmtId="0" fontId="4" fillId="5" borderId="0" xfId="0" applyFont="1" applyFill="1"/>
    <xf numFmtId="0" fontId="6" fillId="5" borderId="0" xfId="0" applyFont="1" applyFill="1"/>
    <xf numFmtId="0" fontId="4" fillId="4" borderId="0" xfId="0" applyFont="1" applyFill="1"/>
    <xf numFmtId="0" fontId="6" fillId="4" borderId="0" xfId="0" applyFont="1" applyFill="1"/>
    <xf numFmtId="0" fontId="4" fillId="6" borderId="0" xfId="0" applyFont="1" applyFill="1"/>
    <xf numFmtId="0" fontId="6" fillId="6" borderId="0" xfId="0" applyFont="1" applyFill="1"/>
    <xf numFmtId="0" fontId="0" fillId="0" borderId="3" xfId="0" applyBorder="1" applyAlignment="1">
      <alignment horizontal="left" vertical="center" wrapText="1"/>
    </xf>
    <xf numFmtId="0" fontId="0" fillId="0" borderId="3" xfId="0" applyBorder="1" applyAlignment="1">
      <alignment vertical="center" wrapText="1"/>
    </xf>
    <xf numFmtId="0" fontId="5" fillId="3" borderId="4" xfId="0" applyFont="1" applyFill="1" applyBorder="1"/>
    <xf numFmtId="14" fontId="0" fillId="0" borderId="5" xfId="0" applyNumberFormat="1" applyBorder="1" applyAlignment="1">
      <alignment vertical="center"/>
    </xf>
    <xf numFmtId="0" fontId="0" fillId="0" borderId="5" xfId="0" applyBorder="1" applyAlignment="1">
      <alignment vertical="center"/>
    </xf>
    <xf numFmtId="0" fontId="0" fillId="0" borderId="5" xfId="0" applyBorder="1" applyAlignment="1">
      <alignment vertical="center" wrapText="1"/>
    </xf>
    <xf numFmtId="164" fontId="0" fillId="0" borderId="5" xfId="0" applyNumberFormat="1" applyBorder="1" applyAlignment="1">
      <alignment vertical="center"/>
    </xf>
    <xf numFmtId="165" fontId="0" fillId="0" borderId="5" xfId="0" applyNumberFormat="1" applyBorder="1" applyAlignment="1">
      <alignment vertical="center"/>
    </xf>
    <xf numFmtId="0" fontId="0" fillId="0" borderId="5" xfId="0" applyBorder="1" applyAlignment="1">
      <alignment horizontal="left" vertical="center" wrapText="1"/>
    </xf>
    <xf numFmtId="0" fontId="0" fillId="4" borderId="0" xfId="0" applyFill="1"/>
    <xf numFmtId="164" fontId="0" fillId="4" borderId="0" xfId="0" applyNumberFormat="1" applyFill="1"/>
    <xf numFmtId="14" fontId="0" fillId="4" borderId="0" xfId="0" applyNumberFormat="1" applyFill="1"/>
    <xf numFmtId="165" fontId="0" fillId="4" borderId="0" xfId="0" applyNumberFormat="1" applyFill="1"/>
    <xf numFmtId="0" fontId="0" fillId="6" borderId="0" xfId="0" applyFill="1"/>
    <xf numFmtId="0" fontId="0" fillId="5" borderId="0" xfId="0" applyFill="1"/>
    <xf numFmtId="0" fontId="0" fillId="0" borderId="0" xfId="0" pivotButton="1"/>
    <xf numFmtId="0" fontId="0" fillId="0" borderId="0" xfId="0" applyAlignment="1">
      <alignment horizontal="left"/>
    </xf>
    <xf numFmtId="9" fontId="0" fillId="0" borderId="6" xfId="0" applyNumberFormat="1" applyBorder="1"/>
    <xf numFmtId="10" fontId="1" fillId="0" borderId="2" xfId="0" applyNumberFormat="1" applyFont="1" applyBorder="1" applyAlignment="1">
      <alignment horizontal="left" vertical="center"/>
    </xf>
    <xf numFmtId="0" fontId="0" fillId="2" borderId="0" xfId="0" applyFill="1"/>
    <xf numFmtId="0" fontId="0" fillId="7" borderId="0" xfId="0" applyFill="1"/>
    <xf numFmtId="0" fontId="7" fillId="7" borderId="0" xfId="0" applyFont="1" applyFill="1"/>
    <xf numFmtId="166" fontId="3" fillId="2" borderId="0" xfId="0" applyNumberFormat="1" applyFont="1" applyFill="1"/>
    <xf numFmtId="167" fontId="1" fillId="7" borderId="0" xfId="1" applyNumberFormat="1" applyFont="1" applyFill="1" applyAlignment="1">
      <alignment horizontal="right"/>
    </xf>
    <xf numFmtId="168" fontId="0" fillId="0" borderId="0" xfId="0" applyNumberFormat="1"/>
    <xf numFmtId="0" fontId="0" fillId="0" borderId="0" xfId="0" applyNumberFormat="1"/>
  </cellXfs>
  <cellStyles count="2">
    <cellStyle name="Migliaia" xfId="1" builtinId="3"/>
    <cellStyle name="Normale" xfId="0" builtinId="0"/>
  </cellStyles>
  <dxfs count="17">
    <dxf>
      <numFmt numFmtId="14" formatCode="0.00%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medium">
          <color indexed="64"/>
        </top>
        <bottom style="thin">
          <color indexed="64"/>
        </bottom>
      </border>
    </dxf>
    <dxf>
      <numFmt numFmtId="14" formatCode="0.00%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none"/>
      </font>
      <numFmt numFmtId="14" formatCode="0.00%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none"/>
      </font>
      <fill>
        <patternFill patternType="solid">
          <fgColor indexed="64"/>
          <bgColor rgb="FFF79F79"/>
        </patternFill>
      </fill>
    </dxf>
    <dxf>
      <numFmt numFmtId="19" formatCode="dd/mm/yyyy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none"/>
      </font>
      <fill>
        <patternFill patternType="solid">
          <fgColor indexed="64"/>
          <bgColor rgb="FFF05D5E"/>
        </patternFill>
      </fill>
    </dxf>
    <dxf>
      <numFmt numFmtId="165" formatCode="h:mm;@"/>
    </dxf>
    <dxf>
      <numFmt numFmtId="19" formatCode="dd/mm/yyyy"/>
    </dxf>
    <dxf>
      <numFmt numFmtId="19" formatCode="dd/mm/yyyy"/>
    </dxf>
    <dxf>
      <numFmt numFmtId="0" formatCode="General"/>
    </dxf>
    <dxf>
      <numFmt numFmtId="164" formatCode="#,##0.00\ [$€-410]"/>
    </dxf>
    <dxf>
      <numFmt numFmtId="164" formatCode="#,##0.00\ [$€-410]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none"/>
      </font>
      <fill>
        <patternFill patternType="solid">
          <fgColor indexed="64"/>
          <bgColor rgb="FF985F99"/>
        </patternFill>
      </fill>
    </dxf>
  </dxfs>
  <tableStyles count="0" defaultTableStyle="TableStyleMedium2" defaultPivotStyle="PivotStyleLight16"/>
  <colors>
    <mruColors>
      <color rgb="FFF79F79"/>
      <color rgb="FF2ABADC"/>
      <color rgb="FF25BBDE"/>
      <color rgb="FFF05D5E"/>
      <color rgb="FF985F99"/>
      <color rgb="FFCFE0C3"/>
      <color rgb="FF1F363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5.xml"/><Relationship Id="rId18" Type="http://schemas.microsoft.com/office/2007/relationships/slicerCache" Target="slicerCaches/slicerCache2.xml"/><Relationship Id="rId26" Type="http://schemas.openxmlformats.org/officeDocument/2006/relationships/calcChain" Target="calcChain.xml"/><Relationship Id="rId39" Type="http://schemas.openxmlformats.org/officeDocument/2006/relationships/customXml" Target="../customXml/item13.xml"/><Relationship Id="rId21" Type="http://schemas.openxmlformats.org/officeDocument/2006/relationships/connections" Target="connections.xml"/><Relationship Id="rId34" Type="http://schemas.openxmlformats.org/officeDocument/2006/relationships/customXml" Target="../customXml/item8.xml"/><Relationship Id="rId42" Type="http://schemas.openxmlformats.org/officeDocument/2006/relationships/customXml" Target="../customXml/item16.xml"/><Relationship Id="rId47" Type="http://schemas.openxmlformats.org/officeDocument/2006/relationships/customXml" Target="../customXml/item21.xml"/><Relationship Id="rId50" Type="http://schemas.openxmlformats.org/officeDocument/2006/relationships/customXml" Target="../customXml/item24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8.xml"/><Relationship Id="rId29" Type="http://schemas.openxmlformats.org/officeDocument/2006/relationships/customXml" Target="../customXml/item3.xml"/><Relationship Id="rId11" Type="http://schemas.openxmlformats.org/officeDocument/2006/relationships/pivotCacheDefinition" Target="pivotCache/pivotCacheDefinition3.xml"/><Relationship Id="rId24" Type="http://schemas.openxmlformats.org/officeDocument/2006/relationships/sheetMetadata" Target="metadata.xml"/><Relationship Id="rId32" Type="http://schemas.openxmlformats.org/officeDocument/2006/relationships/customXml" Target="../customXml/item6.xml"/><Relationship Id="rId37" Type="http://schemas.openxmlformats.org/officeDocument/2006/relationships/customXml" Target="../customXml/item11.xml"/><Relationship Id="rId40" Type="http://schemas.openxmlformats.org/officeDocument/2006/relationships/customXml" Target="../customXml/item14.xml"/><Relationship Id="rId45" Type="http://schemas.openxmlformats.org/officeDocument/2006/relationships/customXml" Target="../customXml/item19.xml"/><Relationship Id="rId53" Type="http://schemas.openxmlformats.org/officeDocument/2006/relationships/customXml" Target="../customXml/item27.xml"/><Relationship Id="rId5" Type="http://schemas.openxmlformats.org/officeDocument/2006/relationships/worksheet" Target="worksheets/sheet5.xml"/><Relationship Id="rId10" Type="http://schemas.openxmlformats.org/officeDocument/2006/relationships/pivotCacheDefinition" Target="pivotCache/pivotCacheDefinition2.xml"/><Relationship Id="rId19" Type="http://schemas.microsoft.com/office/2007/relationships/slicerCache" Target="slicerCaches/slicerCache3.xml"/><Relationship Id="rId31" Type="http://schemas.openxmlformats.org/officeDocument/2006/relationships/customXml" Target="../customXml/item5.xml"/><Relationship Id="rId44" Type="http://schemas.openxmlformats.org/officeDocument/2006/relationships/customXml" Target="../customXml/item18.xml"/><Relationship Id="rId52" Type="http://schemas.openxmlformats.org/officeDocument/2006/relationships/customXml" Target="../customXml/item26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pivotCacheDefinition" Target="pivotCache/pivotCacheDefinition6.xml"/><Relationship Id="rId22" Type="http://schemas.openxmlformats.org/officeDocument/2006/relationships/styles" Target="styles.xml"/><Relationship Id="rId27" Type="http://schemas.openxmlformats.org/officeDocument/2006/relationships/customXml" Target="../customXml/item1.xml"/><Relationship Id="rId30" Type="http://schemas.openxmlformats.org/officeDocument/2006/relationships/customXml" Target="../customXml/item4.xml"/><Relationship Id="rId35" Type="http://schemas.openxmlformats.org/officeDocument/2006/relationships/customXml" Target="../customXml/item9.xml"/><Relationship Id="rId43" Type="http://schemas.openxmlformats.org/officeDocument/2006/relationships/customXml" Target="../customXml/item17.xml"/><Relationship Id="rId48" Type="http://schemas.openxmlformats.org/officeDocument/2006/relationships/customXml" Target="../customXml/item22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25.xml"/><Relationship Id="rId3" Type="http://schemas.openxmlformats.org/officeDocument/2006/relationships/worksheet" Target="worksheets/sheet3.xml"/><Relationship Id="rId12" Type="http://schemas.openxmlformats.org/officeDocument/2006/relationships/pivotCacheDefinition" Target="pivotCache/pivotCacheDefinition4.xml"/><Relationship Id="rId17" Type="http://schemas.microsoft.com/office/2007/relationships/slicerCache" Target="slicerCaches/slicerCache1.xml"/><Relationship Id="rId25" Type="http://schemas.openxmlformats.org/officeDocument/2006/relationships/powerPivotData" Target="model/item.data"/><Relationship Id="rId33" Type="http://schemas.openxmlformats.org/officeDocument/2006/relationships/customXml" Target="../customXml/item7.xml"/><Relationship Id="rId38" Type="http://schemas.openxmlformats.org/officeDocument/2006/relationships/customXml" Target="../customXml/item12.xml"/><Relationship Id="rId46" Type="http://schemas.openxmlformats.org/officeDocument/2006/relationships/customXml" Target="../customXml/item20.xml"/><Relationship Id="rId20" Type="http://schemas.openxmlformats.org/officeDocument/2006/relationships/theme" Target="theme/theme1.xml"/><Relationship Id="rId41" Type="http://schemas.openxmlformats.org/officeDocument/2006/relationships/customXml" Target="../customXml/item15.xml"/><Relationship Id="rId54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pivotCacheDefinition" Target="pivotCache/pivotCacheDefinition7.xml"/><Relationship Id="rId23" Type="http://schemas.openxmlformats.org/officeDocument/2006/relationships/sharedStrings" Target="sharedStrings.xml"/><Relationship Id="rId28" Type="http://schemas.openxmlformats.org/officeDocument/2006/relationships/customXml" Target="../customXml/item2.xml"/><Relationship Id="rId36" Type="http://schemas.openxmlformats.org/officeDocument/2006/relationships/customXml" Target="../customXml/item10.xml"/><Relationship Id="rId49" Type="http://schemas.openxmlformats.org/officeDocument/2006/relationships/customXml" Target="../customXml/item2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pivotSource>
    <c:name>[Epicool.xlsm]Foglio tecnico!PivotTable1</c:name>
    <c:fmtId val="6"/>
  </c:pivotSource>
  <c:chart>
    <c:autoTitleDeleted val="0"/>
    <c:pivotFmts>
      <c:pivotFmt>
        <c:idx val="0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'Foglio tecnico'!$C$3:$C$4</c:f>
              <c:strCache>
                <c:ptCount val="1"/>
                <c:pt idx="0">
                  <c:v>Bari</c:v>
                </c:pt>
              </c:strCache>
            </c:strRef>
          </c:tx>
          <c:spPr>
            <a:solidFill>
              <a:schemeClr val="accent5">
                <a:shade val="58000"/>
              </a:schemeClr>
            </a:solidFill>
            <a:ln>
              <a:noFill/>
            </a:ln>
            <a:effectLst/>
          </c:spPr>
          <c:invertIfNegative val="0"/>
          <c:cat>
            <c:strRef>
              <c:f>'Foglio tecnico'!$B$5:$B$9</c:f>
              <c:strCache>
                <c:ptCount val="4"/>
                <c:pt idx="0">
                  <c:v>Fisica</c:v>
                </c:pt>
                <c:pt idx="1">
                  <c:v>Inglese</c:v>
                </c:pt>
                <c:pt idx="2">
                  <c:v>Italiano</c:v>
                </c:pt>
                <c:pt idx="3">
                  <c:v>Matematica</c:v>
                </c:pt>
              </c:strCache>
            </c:strRef>
          </c:cat>
          <c:val>
            <c:numRef>
              <c:f>'Foglio tecnico'!$C$5:$C$9</c:f>
              <c:numCache>
                <c:formatCode>#,##0.00\ [$€-410]</c:formatCode>
                <c:ptCount val="4"/>
                <c:pt idx="1">
                  <c:v>1440</c:v>
                </c:pt>
                <c:pt idx="2">
                  <c:v>720</c:v>
                </c:pt>
                <c:pt idx="3">
                  <c:v>1200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D9-4072-8DDF-927F5DA2DF7A}"/>
            </c:ext>
          </c:extLst>
        </c:ser>
        <c:ser>
          <c:idx val="1"/>
          <c:order val="1"/>
          <c:tx>
            <c:strRef>
              <c:f>'Foglio tecnico'!$D$3:$D$4</c:f>
              <c:strCache>
                <c:ptCount val="1"/>
                <c:pt idx="0">
                  <c:v>Bologna</c:v>
                </c:pt>
              </c:strCache>
            </c:strRef>
          </c:tx>
          <c:spPr>
            <a:solidFill>
              <a:schemeClr val="accent5">
                <a:shade val="86000"/>
              </a:schemeClr>
            </a:solidFill>
            <a:ln>
              <a:noFill/>
            </a:ln>
            <a:effectLst/>
          </c:spPr>
          <c:invertIfNegative val="0"/>
          <c:cat>
            <c:strRef>
              <c:f>'Foglio tecnico'!$B$5:$B$9</c:f>
              <c:strCache>
                <c:ptCount val="4"/>
                <c:pt idx="0">
                  <c:v>Fisica</c:v>
                </c:pt>
                <c:pt idx="1">
                  <c:v>Inglese</c:v>
                </c:pt>
                <c:pt idx="2">
                  <c:v>Italiano</c:v>
                </c:pt>
                <c:pt idx="3">
                  <c:v>Matematica</c:v>
                </c:pt>
              </c:strCache>
            </c:strRef>
          </c:cat>
          <c:val>
            <c:numRef>
              <c:f>'Foglio tecnico'!$D$5:$D$9</c:f>
              <c:numCache>
                <c:formatCode>#,##0.00\ [$€-410]</c:formatCode>
                <c:ptCount val="4"/>
                <c:pt idx="2">
                  <c:v>720</c:v>
                </c:pt>
                <c:pt idx="3">
                  <c:v>1200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15D9-4072-8DDF-927F5DA2DF7A}"/>
            </c:ext>
          </c:extLst>
        </c:ser>
        <c:ser>
          <c:idx val="2"/>
          <c:order val="2"/>
          <c:tx>
            <c:strRef>
              <c:f>'Foglio tecnico'!$E$3:$E$4</c:f>
              <c:strCache>
                <c:ptCount val="1"/>
                <c:pt idx="0">
                  <c:v>Napoli</c:v>
                </c:pt>
              </c:strCache>
            </c:strRef>
          </c:tx>
          <c:spPr>
            <a:solidFill>
              <a:schemeClr val="accent5">
                <a:tint val="86000"/>
              </a:schemeClr>
            </a:solidFill>
            <a:ln>
              <a:noFill/>
            </a:ln>
            <a:effectLst/>
          </c:spPr>
          <c:invertIfNegative val="0"/>
          <c:cat>
            <c:strRef>
              <c:f>'Foglio tecnico'!$B$5:$B$9</c:f>
              <c:strCache>
                <c:ptCount val="4"/>
                <c:pt idx="0">
                  <c:v>Fisica</c:v>
                </c:pt>
                <c:pt idx="1">
                  <c:v>Inglese</c:v>
                </c:pt>
                <c:pt idx="2">
                  <c:v>Italiano</c:v>
                </c:pt>
                <c:pt idx="3">
                  <c:v>Matematica</c:v>
                </c:pt>
              </c:strCache>
            </c:strRef>
          </c:cat>
          <c:val>
            <c:numRef>
              <c:f>'Foglio tecnico'!$E$5:$E$9</c:f>
              <c:numCache>
                <c:formatCode>#,##0.00\ [$€-410]</c:formatCode>
                <c:ptCount val="4"/>
                <c:pt idx="0">
                  <c:v>960</c:v>
                </c:pt>
                <c:pt idx="1">
                  <c:v>1440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15D9-4072-8DDF-927F5DA2DF7A}"/>
            </c:ext>
          </c:extLst>
        </c:ser>
        <c:ser>
          <c:idx val="3"/>
          <c:order val="3"/>
          <c:tx>
            <c:strRef>
              <c:f>'Foglio tecnico'!$F$3:$F$4</c:f>
              <c:strCache>
                <c:ptCount val="1"/>
                <c:pt idx="0">
                  <c:v>Online</c:v>
                </c:pt>
              </c:strCache>
            </c:strRef>
          </c:tx>
          <c:spPr>
            <a:solidFill>
              <a:schemeClr val="accent5">
                <a:tint val="58000"/>
              </a:schemeClr>
            </a:solidFill>
            <a:ln>
              <a:noFill/>
            </a:ln>
            <a:effectLst/>
          </c:spPr>
          <c:invertIfNegative val="0"/>
          <c:cat>
            <c:strRef>
              <c:f>'Foglio tecnico'!$B$5:$B$9</c:f>
              <c:strCache>
                <c:ptCount val="4"/>
                <c:pt idx="0">
                  <c:v>Fisica</c:v>
                </c:pt>
                <c:pt idx="1">
                  <c:v>Inglese</c:v>
                </c:pt>
                <c:pt idx="2">
                  <c:v>Italiano</c:v>
                </c:pt>
                <c:pt idx="3">
                  <c:v>Matematica</c:v>
                </c:pt>
              </c:strCache>
            </c:strRef>
          </c:cat>
          <c:val>
            <c:numRef>
              <c:f>'Foglio tecnico'!$F$5:$F$9</c:f>
              <c:numCache>
                <c:formatCode>#,##0.00\ [$€-410]</c:formatCode>
                <c:ptCount val="4"/>
                <c:pt idx="0">
                  <c:v>768</c:v>
                </c:pt>
                <c:pt idx="1">
                  <c:v>1152</c:v>
                </c:pt>
                <c:pt idx="2">
                  <c:v>576</c:v>
                </c:pt>
                <c:pt idx="3">
                  <c:v>960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15D9-4072-8DDF-927F5DA2DF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62781135"/>
        <c:axId val="767948303"/>
      </c:barChart>
      <c:catAx>
        <c:axId val="7627811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67948303"/>
        <c:crosses val="autoZero"/>
        <c:auto val="1"/>
        <c:lblAlgn val="ctr"/>
        <c:lblOffset val="100"/>
        <c:noMultiLvlLbl val="0"/>
      </c:catAx>
      <c:valAx>
        <c:axId val="7679483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[$€-410]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627811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6350" cap="flat" cmpd="sng" algn="ctr">
      <a:solidFill>
        <a:schemeClr val="bg1">
          <a:lumMod val="65000"/>
        </a:schemeClr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it-IT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pivotSource>
    <c:name>[Epicool.xlsm]Foglio tecnico!PivotTable5</c:name>
    <c:fmtId val="12"/>
  </c:pivotSource>
  <c:chart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616297883007086"/>
          <c:y val="7.9557273768613976E-2"/>
          <c:w val="0.88389961184665289"/>
          <c:h val="0.7524793814432989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'Foglio tecnico'!$Q$3:$Q$4</c:f>
              <c:strCache>
                <c:ptCount val="1"/>
                <c:pt idx="0">
                  <c:v>Fisica</c:v>
                </c:pt>
              </c:strCache>
            </c:strRef>
          </c:tx>
          <c:spPr>
            <a:solidFill>
              <a:schemeClr val="accent6">
                <a:tint val="58000"/>
              </a:schemeClr>
            </a:solidFill>
            <a:ln>
              <a:noFill/>
            </a:ln>
            <a:effectLst/>
          </c:spPr>
          <c:invertIfNegative val="0"/>
          <c:cat>
            <c:strRef>
              <c:f>'Foglio tecnico'!$P$5:$P$15</c:f>
              <c:strCache>
                <c:ptCount val="10"/>
                <c:pt idx="0">
                  <c:v>Mariana Dalla Lupa</c:v>
                </c:pt>
                <c:pt idx="1">
                  <c:v>Michele Turetta</c:v>
                </c:pt>
                <c:pt idx="2">
                  <c:v>Carmela Gerace</c:v>
                </c:pt>
                <c:pt idx="3">
                  <c:v>Nicola Erbetto</c:v>
                </c:pt>
                <c:pt idx="4">
                  <c:v>Laura Balzani</c:v>
                </c:pt>
                <c:pt idx="5">
                  <c:v>Paola De Antoniis</c:v>
                </c:pt>
                <c:pt idx="6">
                  <c:v>Simone Simoncelli</c:v>
                </c:pt>
                <c:pt idx="7">
                  <c:v>Tullio Andreatta</c:v>
                </c:pt>
                <c:pt idx="8">
                  <c:v>Anna Levi</c:v>
                </c:pt>
                <c:pt idx="9">
                  <c:v>Gianpaolo Santana</c:v>
                </c:pt>
              </c:strCache>
            </c:strRef>
          </c:cat>
          <c:val>
            <c:numRef>
              <c:f>'Foglio tecnico'!$Q$5:$Q$15</c:f>
              <c:numCache>
                <c:formatCode>#,##0.00\ [$€-410]</c:formatCode>
                <c:ptCount val="10"/>
                <c:pt idx="8">
                  <c:v>2304</c:v>
                </c:pt>
                <c:pt idx="9">
                  <c:v>2880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4D-473F-8D04-70C243BDFB84}"/>
            </c:ext>
          </c:extLst>
        </c:ser>
        <c:ser>
          <c:idx val="1"/>
          <c:order val="1"/>
          <c:tx>
            <c:strRef>
              <c:f>'Foglio tecnico'!$R$3:$R$4</c:f>
              <c:strCache>
                <c:ptCount val="1"/>
                <c:pt idx="0">
                  <c:v>Inglese</c:v>
                </c:pt>
              </c:strCache>
            </c:strRef>
          </c:tx>
          <c:spPr>
            <a:solidFill>
              <a:schemeClr val="accent6">
                <a:tint val="86000"/>
              </a:schemeClr>
            </a:solidFill>
            <a:ln>
              <a:noFill/>
            </a:ln>
            <a:effectLst/>
          </c:spPr>
          <c:invertIfNegative val="0"/>
          <c:cat>
            <c:strRef>
              <c:f>'Foglio tecnico'!$P$5:$P$15</c:f>
              <c:strCache>
                <c:ptCount val="10"/>
                <c:pt idx="0">
                  <c:v>Mariana Dalla Lupa</c:v>
                </c:pt>
                <c:pt idx="1">
                  <c:v>Michele Turetta</c:v>
                </c:pt>
                <c:pt idx="2">
                  <c:v>Carmela Gerace</c:v>
                </c:pt>
                <c:pt idx="3">
                  <c:v>Nicola Erbetto</c:v>
                </c:pt>
                <c:pt idx="4">
                  <c:v>Laura Balzani</c:v>
                </c:pt>
                <c:pt idx="5">
                  <c:v>Paola De Antoniis</c:v>
                </c:pt>
                <c:pt idx="6">
                  <c:v>Simone Simoncelli</c:v>
                </c:pt>
                <c:pt idx="7">
                  <c:v>Tullio Andreatta</c:v>
                </c:pt>
                <c:pt idx="8">
                  <c:v>Anna Levi</c:v>
                </c:pt>
                <c:pt idx="9">
                  <c:v>Gianpaolo Santana</c:v>
                </c:pt>
              </c:strCache>
            </c:strRef>
          </c:cat>
          <c:val>
            <c:numRef>
              <c:f>'Foglio tecnico'!$R$5:$R$15</c:f>
              <c:numCache>
                <c:formatCode>#,##0.00\ [$€-410]</c:formatCode>
                <c:ptCount val="10"/>
                <c:pt idx="2">
                  <c:v>4320</c:v>
                </c:pt>
                <c:pt idx="3">
                  <c:v>4320</c:v>
                </c:pt>
                <c:pt idx="4">
                  <c:v>3456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E24D-473F-8D04-70C243BDFB84}"/>
            </c:ext>
          </c:extLst>
        </c:ser>
        <c:ser>
          <c:idx val="2"/>
          <c:order val="2"/>
          <c:tx>
            <c:strRef>
              <c:f>'Foglio tecnico'!$S$3:$S$4</c:f>
              <c:strCache>
                <c:ptCount val="1"/>
                <c:pt idx="0">
                  <c:v>Italiano</c:v>
                </c:pt>
              </c:strCache>
            </c:strRef>
          </c:tx>
          <c:spPr>
            <a:solidFill>
              <a:schemeClr val="accent6">
                <a:shade val="86000"/>
              </a:schemeClr>
            </a:solidFill>
            <a:ln>
              <a:noFill/>
            </a:ln>
            <a:effectLst/>
          </c:spPr>
          <c:invertIfNegative val="0"/>
          <c:cat>
            <c:strRef>
              <c:f>'Foglio tecnico'!$P$5:$P$15</c:f>
              <c:strCache>
                <c:ptCount val="10"/>
                <c:pt idx="0">
                  <c:v>Mariana Dalla Lupa</c:v>
                </c:pt>
                <c:pt idx="1">
                  <c:v>Michele Turetta</c:v>
                </c:pt>
                <c:pt idx="2">
                  <c:v>Carmela Gerace</c:v>
                </c:pt>
                <c:pt idx="3">
                  <c:v>Nicola Erbetto</c:v>
                </c:pt>
                <c:pt idx="4">
                  <c:v>Laura Balzani</c:v>
                </c:pt>
                <c:pt idx="5">
                  <c:v>Paola De Antoniis</c:v>
                </c:pt>
                <c:pt idx="6">
                  <c:v>Simone Simoncelli</c:v>
                </c:pt>
                <c:pt idx="7">
                  <c:v>Tullio Andreatta</c:v>
                </c:pt>
                <c:pt idx="8">
                  <c:v>Anna Levi</c:v>
                </c:pt>
                <c:pt idx="9">
                  <c:v>Gianpaolo Santana</c:v>
                </c:pt>
              </c:strCache>
            </c:strRef>
          </c:cat>
          <c:val>
            <c:numRef>
              <c:f>'Foglio tecnico'!$S$5:$S$15</c:f>
              <c:numCache>
                <c:formatCode>#,##0.00\ [$€-410]</c:formatCode>
                <c:ptCount val="10"/>
                <c:pt idx="5">
                  <c:v>2016</c:v>
                </c:pt>
                <c:pt idx="6">
                  <c:v>2016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E24D-473F-8D04-70C243BDFB84}"/>
            </c:ext>
          </c:extLst>
        </c:ser>
        <c:ser>
          <c:idx val="3"/>
          <c:order val="3"/>
          <c:tx>
            <c:strRef>
              <c:f>'Foglio tecnico'!$T$3:$T$4</c:f>
              <c:strCache>
                <c:ptCount val="1"/>
                <c:pt idx="0">
                  <c:v>Matematica</c:v>
                </c:pt>
              </c:strCache>
            </c:strRef>
          </c:tx>
          <c:spPr>
            <a:solidFill>
              <a:schemeClr val="accent6">
                <a:shade val="58000"/>
              </a:schemeClr>
            </a:solidFill>
            <a:ln>
              <a:noFill/>
            </a:ln>
            <a:effectLst/>
          </c:spPr>
          <c:invertIfNegative val="0"/>
          <c:cat>
            <c:strRef>
              <c:f>'Foglio tecnico'!$P$5:$P$15</c:f>
              <c:strCache>
                <c:ptCount val="10"/>
                <c:pt idx="0">
                  <c:v>Mariana Dalla Lupa</c:v>
                </c:pt>
                <c:pt idx="1">
                  <c:v>Michele Turetta</c:v>
                </c:pt>
                <c:pt idx="2">
                  <c:v>Carmela Gerace</c:v>
                </c:pt>
                <c:pt idx="3">
                  <c:v>Nicola Erbetto</c:v>
                </c:pt>
                <c:pt idx="4">
                  <c:v>Laura Balzani</c:v>
                </c:pt>
                <c:pt idx="5">
                  <c:v>Paola De Antoniis</c:v>
                </c:pt>
                <c:pt idx="6">
                  <c:v>Simone Simoncelli</c:v>
                </c:pt>
                <c:pt idx="7">
                  <c:v>Tullio Andreatta</c:v>
                </c:pt>
                <c:pt idx="8">
                  <c:v>Anna Levi</c:v>
                </c:pt>
                <c:pt idx="9">
                  <c:v>Gianpaolo Santana</c:v>
                </c:pt>
              </c:strCache>
            </c:strRef>
          </c:cat>
          <c:val>
            <c:numRef>
              <c:f>'Foglio tecnico'!$T$5:$T$15</c:f>
              <c:numCache>
                <c:formatCode>#,##0.00\ [$€-410]</c:formatCode>
                <c:ptCount val="10"/>
                <c:pt idx="0">
                  <c:v>3600</c:v>
                </c:pt>
                <c:pt idx="1">
                  <c:v>2880</c:v>
                </c:pt>
                <c:pt idx="7">
                  <c:v>3600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E24D-473F-8D04-70C243BDFB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54037999"/>
        <c:axId val="387607311"/>
      </c:barChart>
      <c:catAx>
        <c:axId val="8540379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387607311"/>
        <c:crosses val="autoZero"/>
        <c:auto val="1"/>
        <c:lblAlgn val="ctr"/>
        <c:lblOffset val="100"/>
        <c:noMultiLvlLbl val="0"/>
      </c:catAx>
      <c:valAx>
        <c:axId val="3876073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[$€-410]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8540379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1">
          <a:lumMod val="6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pivotSource>
    <c:name>[Epicool.xlsm]Foglio tecnico!PivotTable3</c:name>
    <c:fmtId val="9"/>
  </c:pivotSource>
  <c:chart>
    <c:autoTitleDeleted val="1"/>
    <c:pivotFmts>
      <c:pivotFmt>
        <c:idx val="0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overflow" horzOverflow="overflow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showLegendKey val="0"/>
          <c:showVal val="1"/>
          <c:showCatName val="1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.10567642359922401"/>
              <c:y val="-9.2592592592592601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overflow" horzOverflow="overflow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showLegendKey val="0"/>
          <c:showVal val="1"/>
          <c:showCatName val="1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7.2222222222222215E-2"/>
              <c:y val="0.13425925925925908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overflow" horzOverflow="overflow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showLegendKey val="0"/>
          <c:showVal val="1"/>
          <c:showCatName val="1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1111111111111111"/>
              <c:y val="8.796296296296279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overflow" horzOverflow="overflow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showLegendKey val="0"/>
          <c:showVal val="1"/>
          <c:showCatName val="1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1111111111111111"/>
              <c:y val="-0.10648148148148148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overflow" horzOverflow="overflow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showLegendKey val="0"/>
          <c:showVal val="1"/>
          <c:showCatName val="1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overflow" horzOverflow="overflow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showLegendKey val="0"/>
          <c:showVal val="1"/>
          <c:showCatName val="1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.10567642359922401"/>
              <c:y val="-9.2592592592592601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overflow" horzOverflow="overflow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showLegendKey val="0"/>
          <c:showVal val="1"/>
          <c:showCatName val="1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7.2222222222222215E-2"/>
              <c:y val="0.13425925925925908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overflow" horzOverflow="overflow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showLegendKey val="0"/>
          <c:showVal val="1"/>
          <c:showCatName val="1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1111111111111111"/>
              <c:y val="8.796296296296279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overflow" horzOverflow="overflow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showLegendKey val="0"/>
          <c:showVal val="1"/>
          <c:showCatName val="1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1111111111111111"/>
              <c:y val="-0.10648148148148148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overflow" horzOverflow="overflow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showLegendKey val="0"/>
          <c:showVal val="1"/>
          <c:showCatName val="1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overflow" horzOverflow="overflow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showLegendKey val="0"/>
          <c:showVal val="1"/>
          <c:showCatName val="1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.10567642359922401"/>
              <c:y val="-9.2592592592592601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overflow" horzOverflow="overflow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showLegendKey val="0"/>
          <c:showVal val="1"/>
          <c:showCatName val="1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7.2222222222222215E-2"/>
              <c:y val="0.13425925925925908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overflow" horzOverflow="overflow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showLegendKey val="0"/>
          <c:showVal val="1"/>
          <c:showCatName val="1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1111111111111111"/>
              <c:y val="8.796296296296279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overflow" horzOverflow="overflow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showLegendKey val="0"/>
          <c:showVal val="1"/>
          <c:showCatName val="1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10610666698928893"/>
              <c:y val="-0.1666666666666666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overflow" horzOverflow="overflow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showLegendKey val="0"/>
          <c:showVal val="1"/>
          <c:showCatName val="1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>
              <c15:layout>
                <c:manualLayout>
                  <c:w val="0.21951219512195122"/>
                  <c:h val="0.16645815106445028"/>
                </c:manualLayout>
              </c15:layout>
            </c:ext>
          </c:extLst>
        </c:dLbl>
      </c:pivotFmt>
      <c:pivotFmt>
        <c:idx val="21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overflow" horzOverflow="overflow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showLegendKey val="0"/>
          <c:showVal val="1"/>
          <c:showCatName val="1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.10567642359922401"/>
              <c:y val="-9.2592592592592601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overflow" horzOverflow="overflow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showLegendKey val="0"/>
          <c:showVal val="1"/>
          <c:showCatName val="1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7.2222222222222215E-2"/>
              <c:y val="0.13425925925925908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overflow" horzOverflow="overflow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showLegendKey val="0"/>
          <c:showVal val="1"/>
          <c:showCatName val="1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1111111111111111"/>
              <c:y val="8.796296296296279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overflow" horzOverflow="overflow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showLegendKey val="0"/>
          <c:showVal val="1"/>
          <c:showCatName val="1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10610666698928893"/>
              <c:y val="-0.1666666666666666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overflow" horzOverflow="overflow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showLegendKey val="0"/>
          <c:showVal val="1"/>
          <c:showCatName val="1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>
              <c15:layout>
                <c:manualLayout>
                  <c:w val="0.21951219512195122"/>
                  <c:h val="0.16645815106445028"/>
                </c:manualLayout>
              </c15:layout>
            </c:ext>
          </c:extLst>
        </c:dLbl>
      </c:pivotFmt>
      <c:pivotFmt>
        <c:idx val="26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overflow" horzOverflow="overflow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showLegendKey val="0"/>
          <c:showVal val="1"/>
          <c:showCatName val="1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.10567642359922401"/>
              <c:y val="-9.2592592592592601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overflow" horzOverflow="overflow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showLegendKey val="0"/>
          <c:showVal val="1"/>
          <c:showCatName val="1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7.2222222222222215E-2"/>
              <c:y val="0.13425925925925908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overflow" horzOverflow="overflow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showLegendKey val="0"/>
          <c:showVal val="1"/>
          <c:showCatName val="1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1111111111111111"/>
              <c:y val="8.796296296296279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overflow" horzOverflow="overflow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showLegendKey val="0"/>
          <c:showVal val="1"/>
          <c:showCatName val="1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8.8599993644963182E-2"/>
              <c:y val="-0.1666667528902511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overflow" horzOverflow="overflow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showLegendKey val="0"/>
          <c:showVal val="1"/>
          <c:showCatName val="1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>
              <c15:layout>
                <c:manualLayout>
                  <c:w val="0.25452554181060272"/>
                  <c:h val="0.16645797861728137"/>
                </c:manualLayout>
              </c15:layout>
            </c:ext>
          </c:extLst>
        </c:dLbl>
      </c:pivotFmt>
    </c:pivotFmts>
    <c:plotArea>
      <c:layout/>
      <c:doughnutChart>
        <c:varyColors val="1"/>
        <c:ser>
          <c:idx val="0"/>
          <c:order val="0"/>
          <c:tx>
            <c:strRef>
              <c:f>'Foglio tecnico'!$M$3</c:f>
              <c:strCache>
                <c:ptCount val="1"/>
                <c:pt idx="0">
                  <c:v>Totale</c:v>
                </c:pt>
              </c:strCache>
            </c:strRef>
          </c:tx>
          <c:dPt>
            <c:idx val="0"/>
            <c:bubble3D val="0"/>
            <c:spPr>
              <a:solidFill>
                <a:schemeClr val="accent2">
                  <a:tint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FB3F-4235-9767-EC2A068EEA21}"/>
              </c:ext>
            </c:extLst>
          </c:dPt>
          <c:dPt>
            <c:idx val="1"/>
            <c:bubble3D val="0"/>
            <c:spPr>
              <a:solidFill>
                <a:schemeClr val="accent2">
                  <a:tint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FB3F-4235-9767-EC2A068EEA21}"/>
              </c:ext>
            </c:extLst>
          </c:dPt>
          <c:dPt>
            <c:idx val="2"/>
            <c:bubble3D val="0"/>
            <c:spPr>
              <a:solidFill>
                <a:schemeClr val="accent2">
                  <a:shade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FB3F-4235-9767-EC2A068EEA21}"/>
              </c:ext>
            </c:extLst>
          </c:dPt>
          <c:dPt>
            <c:idx val="3"/>
            <c:bubble3D val="0"/>
            <c:spPr>
              <a:solidFill>
                <a:schemeClr val="accent2">
                  <a:shade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FB3F-4235-9767-EC2A068EEA21}"/>
              </c:ext>
            </c:extLst>
          </c:dPt>
          <c:dLbls>
            <c:dLbl>
              <c:idx val="0"/>
              <c:layout>
                <c:manualLayout>
                  <c:x val="0.10567642359922401"/>
                  <c:y val="-9.2592592592592601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FB3F-4235-9767-EC2A068EEA21}"/>
                </c:ext>
              </c:extLst>
            </c:dLbl>
            <c:dLbl>
              <c:idx val="1"/>
              <c:layout>
                <c:manualLayout>
                  <c:x val="7.2222222222222215E-2"/>
                  <c:y val="0.13425925925925908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B3F-4235-9767-EC2A068EEA21}"/>
                </c:ext>
              </c:extLst>
            </c:dLbl>
            <c:dLbl>
              <c:idx val="2"/>
              <c:layout>
                <c:manualLayout>
                  <c:x val="-0.1111111111111111"/>
                  <c:y val="8.7962962962962798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FB3F-4235-9767-EC2A068EEA21}"/>
                </c:ext>
              </c:extLst>
            </c:dLbl>
            <c:dLbl>
              <c:idx val="3"/>
              <c:layout>
                <c:manualLayout>
                  <c:x val="-8.8599993644963182E-2"/>
                  <c:y val="-0.1666667528902511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25452554181060272"/>
                      <c:h val="0.16645797861728137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FB3F-4235-9767-EC2A068EEA2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'Foglio tecnico'!$L$4:$L$8</c:f>
              <c:strCache>
                <c:ptCount val="4"/>
                <c:pt idx="0">
                  <c:v>Fisica</c:v>
                </c:pt>
                <c:pt idx="1">
                  <c:v>Inglese</c:v>
                </c:pt>
                <c:pt idx="2">
                  <c:v>Italiano</c:v>
                </c:pt>
                <c:pt idx="3">
                  <c:v>Matematica</c:v>
                </c:pt>
              </c:strCache>
            </c:strRef>
          </c:cat>
          <c:val>
            <c:numRef>
              <c:f>'Foglio tecnico'!$M$4:$M$8</c:f>
              <c:numCache>
                <c:formatCode>General</c:formatCode>
                <c:ptCount val="4"/>
                <c:pt idx="0">
                  <c:v>6</c:v>
                </c:pt>
                <c:pt idx="1">
                  <c:v>9</c:v>
                </c:pt>
                <c:pt idx="2">
                  <c:v>6</c:v>
                </c:pt>
                <c:pt idx="3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B3F-4235-9767-EC2A068EEA21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1">
          <a:lumMod val="6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pivotSource>
    <c:name>[Epicool.xlsm]Foglio tecnico!PivotTable6</c:name>
    <c:fmtId val="15"/>
  </c:pivotSource>
  <c:chart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'Foglio tecnico'!$Q$20:$Q$21</c:f>
              <c:strCache>
                <c:ptCount val="1"/>
                <c:pt idx="0">
                  <c:v>Fisica</c:v>
                </c:pt>
              </c:strCache>
            </c:strRef>
          </c:tx>
          <c:spPr>
            <a:solidFill>
              <a:schemeClr val="accent6">
                <a:tint val="58000"/>
              </a:schemeClr>
            </a:solidFill>
            <a:ln>
              <a:noFill/>
            </a:ln>
            <a:effectLst/>
          </c:spPr>
          <c:invertIfNegative val="0"/>
          <c:cat>
            <c:strRef>
              <c:f>'Foglio tecnico'!$P$22:$P$32</c:f>
              <c:strCache>
                <c:ptCount val="10"/>
                <c:pt idx="0">
                  <c:v>Anna Levi</c:v>
                </c:pt>
                <c:pt idx="1">
                  <c:v>Carmela Gerace</c:v>
                </c:pt>
                <c:pt idx="2">
                  <c:v>Gianpaolo Santana</c:v>
                </c:pt>
                <c:pt idx="3">
                  <c:v>Laura Balzani</c:v>
                </c:pt>
                <c:pt idx="4">
                  <c:v>Mariana Dalla Lupa</c:v>
                </c:pt>
                <c:pt idx="5">
                  <c:v>Michele Turetta</c:v>
                </c:pt>
                <c:pt idx="6">
                  <c:v>Nicola Erbetto</c:v>
                </c:pt>
                <c:pt idx="7">
                  <c:v>Paola De Antoniis</c:v>
                </c:pt>
                <c:pt idx="8">
                  <c:v>Simone Simoncelli</c:v>
                </c:pt>
                <c:pt idx="9">
                  <c:v>Tullio Andreatta</c:v>
                </c:pt>
              </c:strCache>
            </c:strRef>
          </c:cat>
          <c:val>
            <c:numRef>
              <c:f>'Foglio tecnico'!$Q$22:$Q$32</c:f>
              <c:numCache>
                <c:formatCode>"€"#,##0.00_);\("€"#,##0.00\)</c:formatCode>
                <c:ptCount val="10"/>
                <c:pt idx="0">
                  <c:v>80640</c:v>
                </c:pt>
                <c:pt idx="2">
                  <c:v>43200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CD-4305-BCFF-327A23D32585}"/>
            </c:ext>
          </c:extLst>
        </c:ser>
        <c:ser>
          <c:idx val="1"/>
          <c:order val="1"/>
          <c:tx>
            <c:strRef>
              <c:f>'Foglio tecnico'!$R$20:$R$21</c:f>
              <c:strCache>
                <c:ptCount val="1"/>
                <c:pt idx="0">
                  <c:v>Inglese</c:v>
                </c:pt>
              </c:strCache>
            </c:strRef>
          </c:tx>
          <c:spPr>
            <a:solidFill>
              <a:schemeClr val="accent6">
                <a:tint val="86000"/>
              </a:schemeClr>
            </a:solidFill>
            <a:ln>
              <a:noFill/>
            </a:ln>
            <a:effectLst/>
          </c:spPr>
          <c:invertIfNegative val="0"/>
          <c:cat>
            <c:strRef>
              <c:f>'Foglio tecnico'!$P$22:$P$32</c:f>
              <c:strCache>
                <c:ptCount val="10"/>
                <c:pt idx="0">
                  <c:v>Anna Levi</c:v>
                </c:pt>
                <c:pt idx="1">
                  <c:v>Carmela Gerace</c:v>
                </c:pt>
                <c:pt idx="2">
                  <c:v>Gianpaolo Santana</c:v>
                </c:pt>
                <c:pt idx="3">
                  <c:v>Laura Balzani</c:v>
                </c:pt>
                <c:pt idx="4">
                  <c:v>Mariana Dalla Lupa</c:v>
                </c:pt>
                <c:pt idx="5">
                  <c:v>Michele Turetta</c:v>
                </c:pt>
                <c:pt idx="6">
                  <c:v>Nicola Erbetto</c:v>
                </c:pt>
                <c:pt idx="7">
                  <c:v>Paola De Antoniis</c:v>
                </c:pt>
                <c:pt idx="8">
                  <c:v>Simone Simoncelli</c:v>
                </c:pt>
                <c:pt idx="9">
                  <c:v>Tullio Andreatta</c:v>
                </c:pt>
              </c:strCache>
            </c:strRef>
          </c:cat>
          <c:val>
            <c:numRef>
              <c:f>'Foglio tecnico'!$R$22:$R$32</c:f>
              <c:numCache>
                <c:formatCode>"€"#,##0.00_);\("€"#,##0.00\)</c:formatCode>
                <c:ptCount val="10"/>
                <c:pt idx="1">
                  <c:v>64800</c:v>
                </c:pt>
                <c:pt idx="3">
                  <c:v>120960</c:v>
                </c:pt>
                <c:pt idx="6">
                  <c:v>129600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ACD-4305-BCFF-327A23D32585}"/>
            </c:ext>
          </c:extLst>
        </c:ser>
        <c:ser>
          <c:idx val="2"/>
          <c:order val="2"/>
          <c:tx>
            <c:strRef>
              <c:f>'Foglio tecnico'!$S$20:$S$21</c:f>
              <c:strCache>
                <c:ptCount val="1"/>
                <c:pt idx="0">
                  <c:v>Italiano</c:v>
                </c:pt>
              </c:strCache>
            </c:strRef>
          </c:tx>
          <c:spPr>
            <a:solidFill>
              <a:schemeClr val="accent6">
                <a:shade val="86000"/>
              </a:schemeClr>
            </a:solidFill>
            <a:ln>
              <a:noFill/>
            </a:ln>
            <a:effectLst/>
          </c:spPr>
          <c:invertIfNegative val="0"/>
          <c:cat>
            <c:strRef>
              <c:f>'Foglio tecnico'!$P$22:$P$32</c:f>
              <c:strCache>
                <c:ptCount val="10"/>
                <c:pt idx="0">
                  <c:v>Anna Levi</c:v>
                </c:pt>
                <c:pt idx="1">
                  <c:v>Carmela Gerace</c:v>
                </c:pt>
                <c:pt idx="2">
                  <c:v>Gianpaolo Santana</c:v>
                </c:pt>
                <c:pt idx="3">
                  <c:v>Laura Balzani</c:v>
                </c:pt>
                <c:pt idx="4">
                  <c:v>Mariana Dalla Lupa</c:v>
                </c:pt>
                <c:pt idx="5">
                  <c:v>Michele Turetta</c:v>
                </c:pt>
                <c:pt idx="6">
                  <c:v>Nicola Erbetto</c:v>
                </c:pt>
                <c:pt idx="7">
                  <c:v>Paola De Antoniis</c:v>
                </c:pt>
                <c:pt idx="8">
                  <c:v>Simone Simoncelli</c:v>
                </c:pt>
                <c:pt idx="9">
                  <c:v>Tullio Andreatta</c:v>
                </c:pt>
              </c:strCache>
            </c:strRef>
          </c:cat>
          <c:val>
            <c:numRef>
              <c:f>'Foglio tecnico'!$S$22:$S$32</c:f>
              <c:numCache>
                <c:formatCode>"€"#,##0.00_);\("€"#,##0.00\)</c:formatCode>
                <c:ptCount val="10"/>
                <c:pt idx="7">
                  <c:v>63360</c:v>
                </c:pt>
                <c:pt idx="8">
                  <c:v>51840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ACD-4305-BCFF-327A23D32585}"/>
            </c:ext>
          </c:extLst>
        </c:ser>
        <c:ser>
          <c:idx val="3"/>
          <c:order val="3"/>
          <c:tx>
            <c:strRef>
              <c:f>'Foglio tecnico'!$T$20:$T$21</c:f>
              <c:strCache>
                <c:ptCount val="1"/>
                <c:pt idx="0">
                  <c:v>Matematica</c:v>
                </c:pt>
              </c:strCache>
            </c:strRef>
          </c:tx>
          <c:spPr>
            <a:solidFill>
              <a:schemeClr val="accent6">
                <a:shade val="58000"/>
              </a:schemeClr>
            </a:solidFill>
            <a:ln>
              <a:noFill/>
            </a:ln>
            <a:effectLst/>
          </c:spPr>
          <c:invertIfNegative val="0"/>
          <c:cat>
            <c:strRef>
              <c:f>'Foglio tecnico'!$P$22:$P$32</c:f>
              <c:strCache>
                <c:ptCount val="10"/>
                <c:pt idx="0">
                  <c:v>Anna Levi</c:v>
                </c:pt>
                <c:pt idx="1">
                  <c:v>Carmela Gerace</c:v>
                </c:pt>
                <c:pt idx="2">
                  <c:v>Gianpaolo Santana</c:v>
                </c:pt>
                <c:pt idx="3">
                  <c:v>Laura Balzani</c:v>
                </c:pt>
                <c:pt idx="4">
                  <c:v>Mariana Dalla Lupa</c:v>
                </c:pt>
                <c:pt idx="5">
                  <c:v>Michele Turetta</c:v>
                </c:pt>
                <c:pt idx="6">
                  <c:v>Nicola Erbetto</c:v>
                </c:pt>
                <c:pt idx="7">
                  <c:v>Paola De Antoniis</c:v>
                </c:pt>
                <c:pt idx="8">
                  <c:v>Simone Simoncelli</c:v>
                </c:pt>
                <c:pt idx="9">
                  <c:v>Tullio Andreatta</c:v>
                </c:pt>
              </c:strCache>
            </c:strRef>
          </c:cat>
          <c:val>
            <c:numRef>
              <c:f>'Foglio tecnico'!$T$22:$T$32</c:f>
              <c:numCache>
                <c:formatCode>"€"#,##0.00_);\("€"#,##0.00\)</c:formatCode>
                <c:ptCount val="10"/>
                <c:pt idx="4">
                  <c:v>108000</c:v>
                </c:pt>
                <c:pt idx="5">
                  <c:v>100800</c:v>
                </c:pt>
                <c:pt idx="9">
                  <c:v>79200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ACD-4305-BCFF-327A23D325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857721951"/>
        <c:axId val="759698895"/>
      </c:barChart>
      <c:catAx>
        <c:axId val="85772195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59698895"/>
        <c:crosses val="autoZero"/>
        <c:auto val="1"/>
        <c:lblAlgn val="ctr"/>
        <c:lblOffset val="100"/>
        <c:noMultiLvlLbl val="0"/>
      </c:catAx>
      <c:valAx>
        <c:axId val="7596988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€&quot;#,##0_);\(&quot;€&quot;#,##0\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85772195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1">
          <a:lumMod val="6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[Epicool.xlsm]Foglio tecnico!PivotTable7</c:name>
    <c:fmtId val="11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&quot;€&quot;#,##0_);\(&quot;€&quot;#,##0\)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5">
              <a:lumMod val="75000"/>
            </a:schemeClr>
          </a:solidFill>
          <a:ln>
            <a:noFill/>
          </a:ln>
          <a:effectLst/>
        </c:spPr>
      </c:pivotFmt>
      <c:pivotFmt>
        <c:idx val="10"/>
        <c:spPr>
          <a:solidFill>
            <a:schemeClr val="accent1">
              <a:lumMod val="40000"/>
              <a:lumOff val="60000"/>
            </a:schemeClr>
          </a:solidFill>
          <a:ln>
            <a:noFill/>
          </a:ln>
          <a:effectLst/>
        </c:spPr>
      </c:pivotFmt>
      <c:pivotFmt>
        <c:idx val="11"/>
        <c:spPr>
          <a:solidFill>
            <a:schemeClr val="accent5"/>
          </a:solidFill>
          <a:ln>
            <a:noFill/>
          </a:ln>
          <a:effectLst/>
        </c:spPr>
      </c:pivotFmt>
      <c:pivotFmt>
        <c:idx val="12"/>
        <c:spPr>
          <a:solidFill>
            <a:schemeClr val="accent5">
              <a:lumMod val="60000"/>
              <a:lumOff val="40000"/>
            </a:schemeClr>
          </a:solidFill>
          <a:ln>
            <a:noFill/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0.19010877688871888"/>
          <c:y val="9.5597477398658495E-2"/>
          <c:w val="0.67959492563429569"/>
          <c:h val="0.8201512831729367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'Foglio tecnico'!$C$34</c:f>
              <c:strCache>
                <c:ptCount val="1"/>
                <c:pt idx="0">
                  <c:v>Totale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5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8F6-41CA-8EB6-A90518273994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E8F6-41CA-8EB6-A90518273994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E8F6-41CA-8EB6-A90518273994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1">
                  <a:lumMod val="40000"/>
                  <a:lumOff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E8F6-41CA-8EB6-A90518273994}"/>
              </c:ext>
            </c:extLst>
          </c:dPt>
          <c:dLbls>
            <c:numFmt formatCode="&quot;€&quot;#,##0_);\(&quot;€&quot;#,##0\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'Foglio tecnico'!$B$35:$B$39</c:f>
              <c:strCache>
                <c:ptCount val="4"/>
                <c:pt idx="0">
                  <c:v>Bari</c:v>
                </c:pt>
                <c:pt idx="1">
                  <c:v>Bologna</c:v>
                </c:pt>
                <c:pt idx="2">
                  <c:v>Napoli</c:v>
                </c:pt>
                <c:pt idx="3">
                  <c:v>Online</c:v>
                </c:pt>
              </c:strCache>
            </c:strRef>
          </c:cat>
          <c:val>
            <c:numRef>
              <c:f>'Foglio tecnico'!$C$35:$C$39</c:f>
              <c:numCache>
                <c:formatCode>"€"#,##0.00_);\("€"#,##0.00\)</c:formatCode>
                <c:ptCount val="4"/>
                <c:pt idx="0">
                  <c:v>210600</c:v>
                </c:pt>
                <c:pt idx="1">
                  <c:v>83160</c:v>
                </c:pt>
                <c:pt idx="2">
                  <c:v>81000</c:v>
                </c:pt>
                <c:pt idx="3">
                  <c:v>257040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F6-41CA-8EB6-A905182739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52235727"/>
        <c:axId val="1352238639"/>
      </c:barChart>
      <c:catAx>
        <c:axId val="13522357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352238639"/>
        <c:crosses val="autoZero"/>
        <c:auto val="1"/>
        <c:lblAlgn val="ctr"/>
        <c:lblOffset val="100"/>
        <c:noMultiLvlLbl val="0"/>
      </c:catAx>
      <c:valAx>
        <c:axId val="13522386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€&quot;#,##0_);\(&quot;€&quot;#,##0\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3522357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1">
          <a:lumMod val="6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pivotSource>
    <c:name>[Epicool.xlsm]Foglio tecnico!PivotTable2</c:name>
    <c:fmtId val="3"/>
  </c:pivotSource>
  <c:chart>
    <c:autoTitleDeleted val="1"/>
    <c:pivotFmts>
      <c:pivotFmt>
        <c:idx val="0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2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5557467817500671E-2"/>
          <c:y val="5.0925925925925923E-2"/>
          <c:w val="0.87132563213295433"/>
          <c:h val="0.8416746864975212"/>
        </c:manualLayout>
      </c:layout>
      <c:lineChart>
        <c:grouping val="standard"/>
        <c:varyColors val="0"/>
        <c:ser>
          <c:idx val="0"/>
          <c:order val="0"/>
          <c:tx>
            <c:strRef>
              <c:f>'Foglio tecnico'!$C$20</c:f>
              <c:strCache>
                <c:ptCount val="1"/>
                <c:pt idx="0">
                  <c:v>Totale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'Foglio tecnico'!$B$21:$B$25</c:f>
              <c:strCache>
                <c:ptCount val="4"/>
                <c:pt idx="0">
                  <c:v>Fisica</c:v>
                </c:pt>
                <c:pt idx="1">
                  <c:v>Inglese</c:v>
                </c:pt>
                <c:pt idx="2">
                  <c:v>Italiano</c:v>
                </c:pt>
                <c:pt idx="3">
                  <c:v>Matematica</c:v>
                </c:pt>
              </c:strCache>
            </c:strRef>
          </c:cat>
          <c:val>
            <c:numRef>
              <c:f>'Foglio tecnico'!$C$21:$C$25</c:f>
              <c:numCache>
                <c:formatCode>General</c:formatCode>
                <c:ptCount val="4"/>
                <c:pt idx="0">
                  <c:v>48</c:v>
                </c:pt>
                <c:pt idx="1">
                  <c:v>72</c:v>
                </c:pt>
                <c:pt idx="2">
                  <c:v>36</c:v>
                </c:pt>
                <c:pt idx="3">
                  <c:v>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D07-46F0-8F1D-DB1F7604D2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52149903"/>
        <c:axId val="766617919"/>
      </c:lineChart>
      <c:catAx>
        <c:axId val="155214990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66617919"/>
        <c:crosses val="autoZero"/>
        <c:auto val="1"/>
        <c:lblAlgn val="ctr"/>
        <c:lblOffset val="100"/>
        <c:noMultiLvlLbl val="0"/>
      </c:catAx>
      <c:valAx>
        <c:axId val="7666179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55214990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1">
          <a:lumMod val="6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pivotSource>
    <c:name>[Epicool.xlsm]Foglio tecnico!PivotTable4</c:name>
    <c:fmtId val="12"/>
  </c:pivotSource>
  <c:chart>
    <c:autoTitleDeleted val="1"/>
    <c:pivotFmts>
      <c:pivotFmt>
        <c:idx val="0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showLegendKey val="0"/>
          <c:showVal val="1"/>
          <c:showCatName val="1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.1"/>
              <c:y val="-7.4074074074074084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showLegendKey val="0"/>
          <c:showVal val="1"/>
          <c:showCatName val="1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8.611111111111111E-2"/>
              <c:y val="0.1249999999999998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showLegendKey val="0"/>
          <c:showVal val="1"/>
          <c:showCatName val="1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12222222222222222"/>
              <c:y val="3.703703703703695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showLegendKey val="0"/>
          <c:showVal val="1"/>
          <c:showCatName val="1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12222222222222222"/>
              <c:y val="-9.259259259259258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showLegendKey val="0"/>
          <c:showVal val="1"/>
          <c:showCatName val="1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showLegendKey val="0"/>
          <c:showVal val="1"/>
          <c:showCatName val="1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.1"/>
              <c:y val="-7.4074074074074084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showLegendKey val="0"/>
          <c:showVal val="1"/>
          <c:showCatName val="1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8.611111111111111E-2"/>
              <c:y val="0.1249999999999998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showLegendKey val="0"/>
          <c:showVal val="1"/>
          <c:showCatName val="1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12222222222222222"/>
              <c:y val="3.703703703703695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showLegendKey val="0"/>
          <c:showVal val="1"/>
          <c:showCatName val="1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12222222222222222"/>
              <c:y val="-9.259259259259258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showLegendKey val="0"/>
          <c:showVal val="1"/>
          <c:showCatName val="1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showLegendKey val="0"/>
          <c:showVal val="1"/>
          <c:showCatName val="1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.1"/>
              <c:y val="-7.4074074074074084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showLegendKey val="0"/>
          <c:showVal val="1"/>
          <c:showCatName val="1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8.611111111111111E-2"/>
              <c:y val="0.1249999999999998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showLegendKey val="0"/>
          <c:showVal val="1"/>
          <c:showCatName val="1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12222222222222222"/>
              <c:y val="3.703703703703695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showLegendKey val="0"/>
          <c:showVal val="1"/>
          <c:showCatName val="1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12222222222222222"/>
              <c:y val="-9.259259259259258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showLegendKey val="0"/>
          <c:showVal val="1"/>
          <c:showCatName val="1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showLegendKey val="0"/>
          <c:showVal val="1"/>
          <c:showCatName val="1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.1"/>
              <c:y val="-7.4074074074074084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showLegendKey val="0"/>
          <c:showVal val="1"/>
          <c:showCatName val="1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8.611111111111111E-2"/>
              <c:y val="0.1249999999999998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showLegendKey val="0"/>
          <c:showVal val="1"/>
          <c:showCatName val="1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12222222222222222"/>
              <c:y val="3.703703703703695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showLegendKey val="0"/>
          <c:showVal val="1"/>
          <c:showCatName val="1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12222222222222222"/>
              <c:y val="-9.259259259259258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showLegendKey val="0"/>
          <c:showVal val="1"/>
          <c:showCatName val="1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showLegendKey val="0"/>
          <c:showVal val="1"/>
          <c:showCatName val="1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.14619708994708994"/>
              <c:y val="-9.2592592592592601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showLegendKey val="0"/>
          <c:showVal val="1"/>
          <c:showCatName val="1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8.611111111111111E-2"/>
              <c:y val="0.1249999999999998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showLegendKey val="0"/>
          <c:showVal val="1"/>
          <c:showCatName val="1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16421957671957671"/>
              <c:y val="7.870370370370354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showLegendKey val="0"/>
          <c:showVal val="1"/>
          <c:showCatName val="1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10881847254484449"/>
              <c:y val="-0.1620370370370370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showLegendKey val="0"/>
          <c:showVal val="1"/>
          <c:showCatName val="1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>
              <c15:layout>
                <c:manualLayout>
                  <c:w val="0.21951219512195122"/>
                  <c:h val="0.16645815106445028"/>
                </c:manualLayout>
              </c15:layout>
            </c:ext>
          </c:extLst>
        </c:dLbl>
      </c:pivotFmt>
      <c:pivotFmt>
        <c:idx val="25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showLegendKey val="0"/>
          <c:showVal val="1"/>
          <c:showCatName val="1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.14619708994708994"/>
              <c:y val="-9.2592592592592601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showLegendKey val="0"/>
          <c:showVal val="1"/>
          <c:showCatName val="1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8.611111111111111E-2"/>
              <c:y val="0.1249999999999998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showLegendKey val="0"/>
          <c:showVal val="1"/>
          <c:showCatName val="1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16421957671957671"/>
              <c:y val="7.870370370370354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showLegendKey val="0"/>
          <c:showVal val="1"/>
          <c:showCatName val="1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10881847254484449"/>
              <c:y val="-0.1620370370370370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showLegendKey val="0"/>
          <c:showVal val="1"/>
          <c:showCatName val="1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>
              <c15:layout>
                <c:manualLayout>
                  <c:w val="0.21951219512195122"/>
                  <c:h val="0.16645815106445028"/>
                </c:manualLayout>
              </c15:layout>
            </c:ext>
          </c:extLst>
        </c:dLbl>
      </c:pivotFmt>
      <c:pivotFmt>
        <c:idx val="30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showLegendKey val="0"/>
          <c:showVal val="1"/>
          <c:showCatName val="1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.14619708994708994"/>
              <c:y val="-9.2592592592592601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showLegendKey val="0"/>
          <c:showVal val="1"/>
          <c:showCatName val="1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8.611111111111111E-2"/>
              <c:y val="0.1249999999999998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showLegendKey val="0"/>
          <c:showVal val="1"/>
          <c:showCatName val="1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16421957671957671"/>
              <c:y val="7.870370370370354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showLegendKey val="0"/>
          <c:showVal val="1"/>
          <c:showCatName val="1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10881847254484449"/>
              <c:y val="-0.1620370370370370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showLegendKey val="0"/>
          <c:showVal val="1"/>
          <c:showCatName val="1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>
              <c15:layout>
                <c:manualLayout>
                  <c:w val="0.21951219512195122"/>
                  <c:h val="0.16645815106445028"/>
                </c:manualLayout>
              </c15:layout>
            </c:ext>
          </c:extLst>
        </c:dLbl>
      </c:pivotFmt>
      <c:pivotFmt>
        <c:idx val="35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showLegendKey val="0"/>
          <c:showVal val="1"/>
          <c:showCatName val="1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.14619708994708994"/>
              <c:y val="-9.2592592592592601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showLegendKey val="0"/>
          <c:showVal val="1"/>
          <c:showCatName val="1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8.611111111111111E-2"/>
              <c:y val="0.1249999999999998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showLegendKey val="0"/>
          <c:showVal val="1"/>
          <c:showCatName val="1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16421957671957671"/>
              <c:y val="7.870370370370354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showLegendKey val="0"/>
          <c:showVal val="1"/>
          <c:showCatName val="1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10881847254484449"/>
              <c:y val="-0.1620370370370370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showLegendKey val="0"/>
          <c:showVal val="1"/>
          <c:showCatName val="1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>
              <c15:layout>
                <c:manualLayout>
                  <c:w val="0.21951219512195122"/>
                  <c:h val="0.16645815106445028"/>
                </c:manualLayout>
              </c15:layout>
            </c:ext>
          </c:extLst>
        </c:dLbl>
      </c:pivotFmt>
      <c:pivotFmt>
        <c:idx val="40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showLegendKey val="0"/>
          <c:showVal val="1"/>
          <c:showCatName val="1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.14619708994708994"/>
              <c:y val="-9.2592592592592601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showLegendKey val="0"/>
          <c:showVal val="1"/>
          <c:showCatName val="1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8.611111111111111E-2"/>
              <c:y val="0.1249999999999998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showLegendKey val="0"/>
          <c:showVal val="1"/>
          <c:showCatName val="1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16421957671957671"/>
              <c:y val="7.870370370370354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showLegendKey val="0"/>
          <c:showVal val="1"/>
          <c:showCatName val="1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10881847254484449"/>
              <c:y val="-0.1620370370370370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showLegendKey val="0"/>
          <c:showVal val="1"/>
          <c:showCatName val="1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>
              <c15:layout>
                <c:manualLayout>
                  <c:w val="0.21951219512195122"/>
                  <c:h val="0.16645815106445028"/>
                </c:manualLayout>
              </c15:layout>
            </c:ext>
          </c:extLst>
        </c:dLbl>
      </c:pivotFmt>
    </c:pivotFmts>
    <c:plotArea>
      <c:layout/>
      <c:doughnutChart>
        <c:varyColors val="1"/>
        <c:ser>
          <c:idx val="0"/>
          <c:order val="0"/>
          <c:tx>
            <c:strRef>
              <c:f>'Foglio tecnico'!$M$20</c:f>
              <c:strCache>
                <c:ptCount val="1"/>
                <c:pt idx="0">
                  <c:v>Totale</c:v>
                </c:pt>
              </c:strCache>
            </c:strRef>
          </c:tx>
          <c:dPt>
            <c:idx val="0"/>
            <c:bubble3D val="0"/>
            <c:spPr>
              <a:solidFill>
                <a:schemeClr val="accent2">
                  <a:tint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FC9-4142-9020-C8F67FCA4DAE}"/>
              </c:ext>
            </c:extLst>
          </c:dPt>
          <c:dPt>
            <c:idx val="1"/>
            <c:bubble3D val="0"/>
            <c:spPr>
              <a:solidFill>
                <a:schemeClr val="accent2">
                  <a:tint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FC9-4142-9020-C8F67FCA4DAE}"/>
              </c:ext>
            </c:extLst>
          </c:dPt>
          <c:dPt>
            <c:idx val="2"/>
            <c:bubble3D val="0"/>
            <c:spPr>
              <a:solidFill>
                <a:schemeClr val="accent2">
                  <a:shade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FC9-4142-9020-C8F67FCA4DAE}"/>
              </c:ext>
            </c:extLst>
          </c:dPt>
          <c:dPt>
            <c:idx val="3"/>
            <c:bubble3D val="0"/>
            <c:spPr>
              <a:solidFill>
                <a:schemeClr val="accent2">
                  <a:shade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5FC9-4142-9020-C8F67FCA4DAE}"/>
              </c:ext>
            </c:extLst>
          </c:dPt>
          <c:dLbls>
            <c:dLbl>
              <c:idx val="0"/>
              <c:layout>
                <c:manualLayout>
                  <c:x val="0.14619708994708994"/>
                  <c:y val="-9.2592592592592601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FC9-4142-9020-C8F67FCA4DAE}"/>
                </c:ext>
              </c:extLst>
            </c:dLbl>
            <c:dLbl>
              <c:idx val="1"/>
              <c:layout>
                <c:manualLayout>
                  <c:x val="8.611111111111111E-2"/>
                  <c:y val="0.12499999999999983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FC9-4142-9020-C8F67FCA4DAE}"/>
                </c:ext>
              </c:extLst>
            </c:dLbl>
            <c:dLbl>
              <c:idx val="2"/>
              <c:layout>
                <c:manualLayout>
                  <c:x val="-0.16421957671957671"/>
                  <c:y val="7.870370370370354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5FC9-4142-9020-C8F67FCA4DAE}"/>
                </c:ext>
              </c:extLst>
            </c:dLbl>
            <c:dLbl>
              <c:idx val="3"/>
              <c:layout>
                <c:manualLayout>
                  <c:x val="-0.10881847254484449"/>
                  <c:y val="-0.16203703703703703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21951219512195122"/>
                      <c:h val="0.16645815106445028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5FC9-4142-9020-C8F67FCA4DA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'Foglio tecnico'!$L$21:$L$25</c:f>
              <c:strCache>
                <c:ptCount val="4"/>
                <c:pt idx="0">
                  <c:v>Fisica</c:v>
                </c:pt>
                <c:pt idx="1">
                  <c:v>Inglese</c:v>
                </c:pt>
                <c:pt idx="2">
                  <c:v>Italiano</c:v>
                </c:pt>
                <c:pt idx="3">
                  <c:v>Matematica</c:v>
                </c:pt>
              </c:strCache>
            </c:strRef>
          </c:cat>
          <c:val>
            <c:numRef>
              <c:f>'Foglio tecnico'!$M$21:$M$25</c:f>
              <c:numCache>
                <c:formatCode>General</c:formatCode>
                <c:ptCount val="4"/>
                <c:pt idx="0">
                  <c:v>6</c:v>
                </c:pt>
                <c:pt idx="1">
                  <c:v>9</c:v>
                </c:pt>
                <c:pt idx="2">
                  <c:v>6</c:v>
                </c:pt>
                <c:pt idx="3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FC9-4142-9020-C8F67FCA4DAE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1">
          <a:lumMod val="6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colors3.xml><?xml version="1.0" encoding="utf-8"?>
<cs:colorStyle xmlns:cs="http://schemas.microsoft.com/office/drawing/2012/chartStyle" xmlns:a="http://schemas.openxmlformats.org/drawingml/2006/main" meth="withinLinearReversed" id="22">
  <a:schemeClr val="accent2"/>
</cs:colorStyle>
</file>

<file path=xl/charts/colors4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withinLinearReversed" id="22">
  <a:schemeClr val="accent2"/>
</cs:colorStyle>
</file>

<file path=xl/charts/colors7.xml><?xml version="1.0" encoding="utf-8"?>
<cs:colorStyle xmlns:cs="http://schemas.microsoft.com/office/drawing/2012/chartStyle" xmlns:a="http://schemas.openxmlformats.org/drawingml/2006/main" meth="withinLinearReversed" id="22">
  <a:schemeClr val="accent2"/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Ricerca!B3"/><Relationship Id="rId2" Type="http://schemas.openxmlformats.org/officeDocument/2006/relationships/hyperlink" Target="#Report!C4"/><Relationship Id="rId1" Type="http://schemas.openxmlformats.org/officeDocument/2006/relationships/image" Target="../media/image1.jpg"/><Relationship Id="rId4" Type="http://schemas.openxmlformats.org/officeDocument/2006/relationships/hyperlink" Target="#Inserimento!V17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.xml"/><Relationship Id="rId3" Type="http://schemas.openxmlformats.org/officeDocument/2006/relationships/hyperlink" Target="#Home!O15"/><Relationship Id="rId7" Type="http://schemas.openxmlformats.org/officeDocument/2006/relationships/chart" Target="../charts/chart5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4.xml"/><Relationship Id="rId5" Type="http://schemas.openxmlformats.org/officeDocument/2006/relationships/chart" Target="../charts/chart3.xml"/><Relationship Id="rId4" Type="http://schemas.openxmlformats.org/officeDocument/2006/relationships/image" Target="../media/image2.jpeg"/><Relationship Id="rId9" Type="http://schemas.openxmlformats.org/officeDocument/2006/relationships/chart" Target="../charts/chart7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jpeg"/><Relationship Id="rId1" Type="http://schemas.openxmlformats.org/officeDocument/2006/relationships/hyperlink" Target="#Home!O15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jpeg"/><Relationship Id="rId1" Type="http://schemas.openxmlformats.org/officeDocument/2006/relationships/hyperlink" Target="#Home!O15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jpeg"/><Relationship Id="rId1" Type="http://schemas.openxmlformats.org/officeDocument/2006/relationships/image" Target="../media/image3.png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2" Type="http://schemas.openxmlformats.org/officeDocument/2006/relationships/image" Target="../media/image7.emf"/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275090</xdr:colOff>
      <xdr:row>1</xdr:row>
      <xdr:rowOff>78790</xdr:rowOff>
    </xdr:from>
    <xdr:to>
      <xdr:col>28</xdr:col>
      <xdr:colOff>166869</xdr:colOff>
      <xdr:row>7</xdr:row>
      <xdr:rowOff>102019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10028690" y="231190"/>
          <a:ext cx="3793219" cy="937629"/>
        </a:xfrm>
        <a:prstGeom prst="rect">
          <a:avLst/>
        </a:prstGeom>
        <a:noFill/>
      </xdr:spPr>
      <xdr:txBody>
        <a:bodyPr wrap="none" lIns="91440" tIns="45720" rIns="91440" bIns="45720">
          <a:noAutofit/>
        </a:bodyPr>
        <a:lstStyle/>
        <a:p>
          <a:pPr algn="ctr"/>
          <a:r>
            <a:rPr lang="en-US" sz="5400" b="0" cap="none" spc="0">
              <a:ln w="0">
                <a:solidFill>
                  <a:srgbClr val="25BBDE"/>
                </a:solidFill>
              </a:ln>
              <a:solidFill>
                <a:srgbClr val="25BBDE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GESTIONALE</a:t>
          </a:r>
          <a:endParaRPr lang="en-GB" sz="5400" b="0" cap="none" spc="0">
            <a:ln w="0">
              <a:solidFill>
                <a:srgbClr val="25BBDE"/>
              </a:solidFill>
            </a:ln>
            <a:solidFill>
              <a:srgbClr val="25BBDE"/>
            </a:solidFill>
            <a:effectLst>
              <a:outerShdw blurRad="38100" dist="25400" dir="5400000" algn="ctr" rotWithShape="0">
                <a:srgbClr val="6E747A">
                  <a:alpha val="43000"/>
                </a:srgbClr>
              </a:outerShdw>
            </a:effectLst>
          </a:endParaRPr>
        </a:p>
      </xdr:txBody>
    </xdr:sp>
    <xdr:clientData/>
  </xdr:twoCellAnchor>
  <xdr:twoCellAnchor>
    <xdr:from>
      <xdr:col>3</xdr:col>
      <xdr:colOff>403861</xdr:colOff>
      <xdr:row>13</xdr:row>
      <xdr:rowOff>50802</xdr:rowOff>
    </xdr:from>
    <xdr:to>
      <xdr:col>8</xdr:col>
      <xdr:colOff>452185</xdr:colOff>
      <xdr:row>28</xdr:row>
      <xdr:rowOff>2538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6901" y="2032002"/>
          <a:ext cx="2486724" cy="2237736"/>
        </a:xfrm>
        <a:prstGeom prst="rect">
          <a:avLst/>
        </a:prstGeom>
      </xdr:spPr>
    </xdr:pic>
    <xdr:clientData/>
  </xdr:twoCellAnchor>
  <xdr:twoCellAnchor>
    <xdr:from>
      <xdr:col>2</xdr:col>
      <xdr:colOff>283274</xdr:colOff>
      <xdr:row>8</xdr:row>
      <xdr:rowOff>82840</xdr:rowOff>
    </xdr:from>
    <xdr:to>
      <xdr:col>18</xdr:col>
      <xdr:colOff>118074</xdr:colOff>
      <xdr:row>32</xdr:row>
      <xdr:rowOff>122900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1258634" y="1303945"/>
          <a:ext cx="7603390" cy="3697660"/>
          <a:chOff x="1052894" y="1370620"/>
          <a:chExt cx="7637680" cy="3697660"/>
        </a:xfrm>
      </xdr:grpSpPr>
      <xdr:sp macro="" textlink="">
        <xdr:nvSpPr>
          <xdr:cNvPr id="11" name="Block Arc 10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/>
        </xdr:nvSpPr>
        <xdr:spPr>
          <a:xfrm>
            <a:off x="1052894" y="1370620"/>
            <a:ext cx="3697660" cy="3697660"/>
          </a:xfrm>
          <a:prstGeom prst="blockArc">
            <a:avLst>
              <a:gd name="adj1" fmla="val 18900000"/>
              <a:gd name="adj2" fmla="val 2700000"/>
              <a:gd name="adj3" fmla="val 584"/>
            </a:avLst>
          </a:prstGeom>
          <a:ln>
            <a:solidFill>
              <a:srgbClr val="25BBDE"/>
            </a:solidFill>
          </a:ln>
        </xdr:spPr>
        <xdr:style>
          <a:lnRef idx="2">
            <a:schemeClr val="accent5">
              <a:tint val="90000"/>
              <a:hueOff val="0"/>
              <a:satOff val="0"/>
              <a:lumOff val="0"/>
              <a:alphaOff val="0"/>
            </a:schemeClr>
          </a:lnRef>
          <a:fillRef idx="0">
            <a:schemeClr val="accent5">
              <a:tint val="90000"/>
              <a:hueOff val="0"/>
              <a:satOff val="0"/>
              <a:lumOff val="0"/>
              <a:alphaOff val="0"/>
            </a:schemeClr>
          </a:fillRef>
          <a:effectRef idx="0">
            <a:schemeClr val="accent5">
              <a:tint val="90000"/>
              <a:hueOff val="0"/>
              <a:satOff val="0"/>
              <a:lumOff val="0"/>
              <a:alphaOff val="0"/>
            </a:schemeClr>
          </a:effectRef>
          <a:fontRef idx="minor">
            <a:schemeClr val="tx1">
              <a:hueOff val="0"/>
              <a:satOff val="0"/>
              <a:lumOff val="0"/>
              <a:alphaOff val="0"/>
            </a:schemeClr>
          </a:fontRef>
        </xdr:style>
      </xdr:sp>
      <xdr:sp macro="" textlink="">
        <xdr:nvSpPr>
          <xdr:cNvPr id="12" name="Freeform: Shape 11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4537186" y="2122170"/>
            <a:ext cx="4153387" cy="548640"/>
          </a:xfrm>
          <a:custGeom>
            <a:avLst/>
            <a:gdLst>
              <a:gd name="connsiteX0" fmla="*/ 0 w 4153387"/>
              <a:gd name="connsiteY0" fmla="*/ 0 h 548640"/>
              <a:gd name="connsiteX1" fmla="*/ 4153387 w 4153387"/>
              <a:gd name="connsiteY1" fmla="*/ 0 h 548640"/>
              <a:gd name="connsiteX2" fmla="*/ 4153387 w 4153387"/>
              <a:gd name="connsiteY2" fmla="*/ 548640 h 548640"/>
              <a:gd name="connsiteX3" fmla="*/ 0 w 4153387"/>
              <a:gd name="connsiteY3" fmla="*/ 548640 h 548640"/>
              <a:gd name="connsiteX4" fmla="*/ 0 w 4153387"/>
              <a:gd name="connsiteY4" fmla="*/ 0 h 54864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4153387" h="548640">
                <a:moveTo>
                  <a:pt x="0" y="0"/>
                </a:moveTo>
                <a:lnTo>
                  <a:pt x="4153387" y="0"/>
                </a:lnTo>
                <a:lnTo>
                  <a:pt x="4153387" y="548640"/>
                </a:lnTo>
                <a:lnTo>
                  <a:pt x="0" y="548640"/>
                </a:lnTo>
                <a:lnTo>
                  <a:pt x="0" y="0"/>
                </a:lnTo>
                <a:close/>
              </a:path>
            </a:pathLst>
          </a:custGeom>
          <a:solidFill>
            <a:srgbClr val="25BBDE"/>
          </a:solidFill>
          <a:ln>
            <a:solidFill>
              <a:srgbClr val="25BBDE"/>
            </a:solidFill>
          </a:ln>
        </xdr:spPr>
        <xdr:style>
          <a:lnRef idx="2">
            <a:schemeClr val="lt1">
              <a:hueOff val="0"/>
              <a:satOff val="0"/>
              <a:lumOff val="0"/>
              <a:alphaOff val="0"/>
            </a:schemeClr>
          </a:lnRef>
          <a:fillRef idx="1">
            <a:schemeClr val="accent5">
              <a:shade val="50000"/>
              <a:hueOff val="0"/>
              <a:satOff val="0"/>
              <a:lumOff val="0"/>
              <a:alphaOff val="0"/>
            </a:schemeClr>
          </a:fillRef>
          <a:effectRef idx="0">
            <a:schemeClr val="accent5">
              <a:shade val="50000"/>
              <a:hueOff val="0"/>
              <a:satOff val="0"/>
              <a:lumOff val="0"/>
              <a:alphaOff val="0"/>
            </a:schemeClr>
          </a:effectRef>
          <a:fontRef idx="minor">
            <a:schemeClr val="lt1"/>
          </a:fontRef>
        </xdr:style>
        <xdr:txBody>
          <a:bodyPr spcFirstLastPara="0" vert="horz" wrap="square" lIns="435483" tIns="71120" rIns="71120" bIns="71120" numCol="1" spcCol="1270" anchor="ctr" anchorCtr="0">
            <a:noAutofit/>
          </a:bodyPr>
          <a:lstStyle/>
          <a:p>
            <a:pPr marL="0" lvl="0" indent="0" algn="l" defTabSz="124460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  <a:buNone/>
            </a:pPr>
            <a:r>
              <a:rPr lang="en-GB" sz="2800" kern="1200"/>
              <a:t>Reportistica</a:t>
            </a:r>
          </a:p>
        </xdr:txBody>
      </xdr:sp>
      <xdr:sp macro="" textlink="">
        <xdr:nvSpPr>
          <xdr:cNvPr id="13" name="Oval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4194286" y="2053590"/>
            <a:ext cx="685800" cy="685800"/>
          </a:xfrm>
          <a:prstGeom prst="ellipse">
            <a:avLst/>
          </a:prstGeom>
          <a:ln>
            <a:solidFill>
              <a:srgbClr val="25BBDE"/>
            </a:solidFill>
          </a:ln>
        </xdr:spPr>
        <xdr:style>
          <a:lnRef idx="2">
            <a:schemeClr val="accent5">
              <a:shade val="50000"/>
              <a:hueOff val="0"/>
              <a:satOff val="0"/>
              <a:lumOff val="0"/>
              <a:alphaOff val="0"/>
            </a:schemeClr>
          </a:lnRef>
          <a:fillRef idx="1">
            <a:schemeClr val="lt1">
              <a:hueOff val="0"/>
              <a:satOff val="0"/>
              <a:lumOff val="0"/>
              <a:alphaOff val="0"/>
            </a:schemeClr>
          </a:fillRef>
          <a:effectRef idx="0">
            <a:schemeClr val="lt1">
              <a:hueOff val="0"/>
              <a:satOff val="0"/>
              <a:lumOff val="0"/>
              <a:alphaOff val="0"/>
            </a:schemeClr>
          </a:effectRef>
          <a:fontRef idx="minor">
            <a:schemeClr val="dk1">
              <a:hueOff val="0"/>
              <a:satOff val="0"/>
              <a:lumOff val="0"/>
              <a:alphaOff val="0"/>
            </a:schemeClr>
          </a:fontRef>
        </xdr:style>
      </xdr:sp>
      <xdr:sp macro="" textlink="">
        <xdr:nvSpPr>
          <xdr:cNvPr id="14" name="Freeform: Shape 13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SpPr/>
        </xdr:nvSpPr>
        <xdr:spPr>
          <a:xfrm>
            <a:off x="4736617" y="2945130"/>
            <a:ext cx="3953957" cy="548640"/>
          </a:xfrm>
          <a:custGeom>
            <a:avLst/>
            <a:gdLst>
              <a:gd name="connsiteX0" fmla="*/ 0 w 3953957"/>
              <a:gd name="connsiteY0" fmla="*/ 0 h 548640"/>
              <a:gd name="connsiteX1" fmla="*/ 3953957 w 3953957"/>
              <a:gd name="connsiteY1" fmla="*/ 0 h 548640"/>
              <a:gd name="connsiteX2" fmla="*/ 3953957 w 3953957"/>
              <a:gd name="connsiteY2" fmla="*/ 548640 h 548640"/>
              <a:gd name="connsiteX3" fmla="*/ 0 w 3953957"/>
              <a:gd name="connsiteY3" fmla="*/ 548640 h 548640"/>
              <a:gd name="connsiteX4" fmla="*/ 0 w 3953957"/>
              <a:gd name="connsiteY4" fmla="*/ 0 h 54864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3953957" h="548640">
                <a:moveTo>
                  <a:pt x="0" y="0"/>
                </a:moveTo>
                <a:lnTo>
                  <a:pt x="3953957" y="0"/>
                </a:lnTo>
                <a:lnTo>
                  <a:pt x="3953957" y="548640"/>
                </a:lnTo>
                <a:lnTo>
                  <a:pt x="0" y="548640"/>
                </a:lnTo>
                <a:lnTo>
                  <a:pt x="0" y="0"/>
                </a:lnTo>
                <a:close/>
              </a:path>
            </a:pathLst>
          </a:custGeom>
          <a:solidFill>
            <a:srgbClr val="25BBDE"/>
          </a:solidFill>
          <a:ln>
            <a:solidFill>
              <a:srgbClr val="25BBDE"/>
            </a:solidFill>
          </a:ln>
        </xdr:spPr>
        <xdr:style>
          <a:lnRef idx="2">
            <a:schemeClr val="lt1">
              <a:hueOff val="0"/>
              <a:satOff val="0"/>
              <a:lumOff val="0"/>
              <a:alphaOff val="0"/>
            </a:schemeClr>
          </a:lnRef>
          <a:fillRef idx="1">
            <a:schemeClr val="accent5">
              <a:shade val="50000"/>
              <a:hueOff val="222839"/>
              <a:satOff val="5970"/>
              <a:lumOff val="26302"/>
              <a:alphaOff val="0"/>
            </a:schemeClr>
          </a:fillRef>
          <a:effectRef idx="0">
            <a:schemeClr val="accent5">
              <a:shade val="50000"/>
              <a:hueOff val="222839"/>
              <a:satOff val="5970"/>
              <a:lumOff val="26302"/>
              <a:alphaOff val="0"/>
            </a:schemeClr>
          </a:effectRef>
          <a:fontRef idx="minor">
            <a:schemeClr val="lt1"/>
          </a:fontRef>
        </xdr:style>
        <xdr:txBody>
          <a:bodyPr spcFirstLastPara="0" vert="horz" wrap="square" lIns="435483" tIns="71120" rIns="71120" bIns="71120" numCol="1" spcCol="1270" anchor="ctr" anchorCtr="0">
            <a:noAutofit/>
          </a:bodyPr>
          <a:lstStyle/>
          <a:p>
            <a:pPr marL="0" lvl="0" indent="0" algn="l" defTabSz="124460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  <a:buNone/>
            </a:pPr>
            <a:r>
              <a:rPr lang="en-GB" sz="2800" kern="1200"/>
              <a:t>Ricerca</a:t>
            </a:r>
          </a:p>
        </xdr:txBody>
      </xdr:sp>
      <xdr:sp macro="" textlink="">
        <xdr:nvSpPr>
          <xdr:cNvPr id="15" name="Oval 1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SpPr/>
        </xdr:nvSpPr>
        <xdr:spPr>
          <a:xfrm>
            <a:off x="4393717" y="2876550"/>
            <a:ext cx="685800" cy="685800"/>
          </a:xfrm>
          <a:prstGeom prst="ellipse">
            <a:avLst/>
          </a:prstGeom>
          <a:ln>
            <a:solidFill>
              <a:srgbClr val="25BBDE"/>
            </a:solidFill>
          </a:ln>
        </xdr:spPr>
        <xdr:style>
          <a:lnRef idx="2">
            <a:schemeClr val="accent5">
              <a:shade val="50000"/>
              <a:hueOff val="222839"/>
              <a:satOff val="5970"/>
              <a:lumOff val="26302"/>
              <a:alphaOff val="0"/>
            </a:schemeClr>
          </a:lnRef>
          <a:fillRef idx="1">
            <a:schemeClr val="lt1">
              <a:hueOff val="0"/>
              <a:satOff val="0"/>
              <a:lumOff val="0"/>
              <a:alphaOff val="0"/>
            </a:schemeClr>
          </a:fillRef>
          <a:effectRef idx="0">
            <a:schemeClr val="lt1">
              <a:hueOff val="0"/>
              <a:satOff val="0"/>
              <a:lumOff val="0"/>
              <a:alphaOff val="0"/>
            </a:schemeClr>
          </a:effectRef>
          <a:fontRef idx="minor">
            <a:schemeClr val="dk1">
              <a:hueOff val="0"/>
              <a:satOff val="0"/>
              <a:lumOff val="0"/>
              <a:alphaOff val="0"/>
            </a:schemeClr>
          </a:fontRef>
        </xdr:style>
      </xdr:sp>
      <xdr:sp macro="" textlink="">
        <xdr:nvSpPr>
          <xdr:cNvPr id="16" name="Freeform: Shape 15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SpPr/>
        </xdr:nvSpPr>
        <xdr:spPr>
          <a:xfrm>
            <a:off x="4537186" y="3768090"/>
            <a:ext cx="4153387" cy="548640"/>
          </a:xfrm>
          <a:custGeom>
            <a:avLst/>
            <a:gdLst>
              <a:gd name="connsiteX0" fmla="*/ 0 w 4153387"/>
              <a:gd name="connsiteY0" fmla="*/ 0 h 548640"/>
              <a:gd name="connsiteX1" fmla="*/ 4153387 w 4153387"/>
              <a:gd name="connsiteY1" fmla="*/ 0 h 548640"/>
              <a:gd name="connsiteX2" fmla="*/ 4153387 w 4153387"/>
              <a:gd name="connsiteY2" fmla="*/ 548640 h 548640"/>
              <a:gd name="connsiteX3" fmla="*/ 0 w 4153387"/>
              <a:gd name="connsiteY3" fmla="*/ 548640 h 548640"/>
              <a:gd name="connsiteX4" fmla="*/ 0 w 4153387"/>
              <a:gd name="connsiteY4" fmla="*/ 0 h 54864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4153387" h="548640">
                <a:moveTo>
                  <a:pt x="0" y="0"/>
                </a:moveTo>
                <a:lnTo>
                  <a:pt x="4153387" y="0"/>
                </a:lnTo>
                <a:lnTo>
                  <a:pt x="4153387" y="548640"/>
                </a:lnTo>
                <a:lnTo>
                  <a:pt x="0" y="548640"/>
                </a:lnTo>
                <a:lnTo>
                  <a:pt x="0" y="0"/>
                </a:lnTo>
                <a:close/>
              </a:path>
            </a:pathLst>
          </a:custGeom>
          <a:solidFill>
            <a:srgbClr val="25BBDE"/>
          </a:solidFill>
          <a:ln>
            <a:solidFill>
              <a:srgbClr val="25BBDE"/>
            </a:solidFill>
          </a:ln>
        </xdr:spPr>
        <xdr:style>
          <a:lnRef idx="2">
            <a:schemeClr val="lt1">
              <a:hueOff val="0"/>
              <a:satOff val="0"/>
              <a:lumOff val="0"/>
              <a:alphaOff val="0"/>
            </a:schemeClr>
          </a:lnRef>
          <a:fillRef idx="1">
            <a:schemeClr val="accent5">
              <a:shade val="50000"/>
              <a:hueOff val="222839"/>
              <a:satOff val="5970"/>
              <a:lumOff val="26302"/>
              <a:alphaOff val="0"/>
            </a:schemeClr>
          </a:fillRef>
          <a:effectRef idx="0">
            <a:schemeClr val="accent5">
              <a:shade val="50000"/>
              <a:hueOff val="222839"/>
              <a:satOff val="5970"/>
              <a:lumOff val="26302"/>
              <a:alphaOff val="0"/>
            </a:schemeClr>
          </a:effectRef>
          <a:fontRef idx="minor">
            <a:schemeClr val="lt1"/>
          </a:fontRef>
        </xdr:style>
        <xdr:txBody>
          <a:bodyPr spcFirstLastPara="0" vert="horz" wrap="square" lIns="435483" tIns="71120" rIns="71120" bIns="71120" numCol="1" spcCol="1270" anchor="ctr" anchorCtr="0">
            <a:noAutofit/>
          </a:bodyPr>
          <a:lstStyle/>
          <a:p>
            <a:pPr marL="0" lvl="0" indent="0" algn="l" defTabSz="124460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  <a:buNone/>
            </a:pPr>
            <a:r>
              <a:rPr lang="en-GB" sz="2800" kern="1200"/>
              <a:t>Inserimento</a:t>
            </a:r>
          </a:p>
        </xdr:txBody>
      </xdr:sp>
      <xdr:sp macro="" textlink="">
        <xdr:nvSpPr>
          <xdr:cNvPr id="17" name="Oval 16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SpPr/>
        </xdr:nvSpPr>
        <xdr:spPr>
          <a:xfrm>
            <a:off x="4194286" y="3699510"/>
            <a:ext cx="685800" cy="685800"/>
          </a:xfrm>
          <a:prstGeom prst="ellipse">
            <a:avLst/>
          </a:prstGeom>
          <a:ln>
            <a:solidFill>
              <a:srgbClr val="25BBDE"/>
            </a:solidFill>
          </a:ln>
        </xdr:spPr>
        <xdr:style>
          <a:lnRef idx="2">
            <a:schemeClr val="accent5">
              <a:shade val="50000"/>
              <a:hueOff val="222839"/>
              <a:satOff val="5970"/>
              <a:lumOff val="26302"/>
              <a:alphaOff val="0"/>
            </a:schemeClr>
          </a:lnRef>
          <a:fillRef idx="1">
            <a:schemeClr val="lt1">
              <a:hueOff val="0"/>
              <a:satOff val="0"/>
              <a:lumOff val="0"/>
              <a:alphaOff val="0"/>
            </a:schemeClr>
          </a:fillRef>
          <a:effectRef idx="0">
            <a:schemeClr val="lt1">
              <a:hueOff val="0"/>
              <a:satOff val="0"/>
              <a:lumOff val="0"/>
              <a:alphaOff val="0"/>
            </a:schemeClr>
          </a:effectRef>
          <a:fontRef idx="minor">
            <a:schemeClr val="dk1">
              <a:hueOff val="0"/>
              <a:satOff val="0"/>
              <a:lumOff val="0"/>
              <a:alphaOff val="0"/>
            </a:schemeClr>
          </a:fontRef>
        </xdr:style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27</xdr:col>
      <xdr:colOff>1</xdr:colOff>
      <xdr:row>2</xdr:row>
      <xdr:rowOff>1051</xdr:rowOff>
    </xdr:from>
    <xdr:to>
      <xdr:col>30</xdr:col>
      <xdr:colOff>1493</xdr:colOff>
      <xdr:row>16</xdr:row>
      <xdr:rowOff>93866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Sede">
              <a:extLst>
                <a:ext uri="{FF2B5EF4-FFF2-40B4-BE49-F238E27FC236}">
                  <a16:creationId xmlns:a16="http://schemas.microsoft.com/office/drawing/2014/main" id="{00000000-0008-0000-0100-000005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ed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551921" y="336331"/>
              <a:ext cx="1459452" cy="126386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it-IT" sz="1100"/>
                <a:t>Questa forma rappresenta un filtro dei dati. I filtri dei dati sono supportati in Excel 2010 o versione successiva.
Se la forma è stata modificata in una versione precedente di Excel o se la cartella di lavoro è stata salvata in Excel 2003 o versioni precedenti, non è possibile usare il filtro dei dati.</a:t>
              </a:r>
            </a:p>
          </xdr:txBody>
        </xdr:sp>
      </mc:Fallback>
    </mc:AlternateContent>
    <xdr:clientData/>
  </xdr:twoCellAnchor>
  <xdr:twoCellAnchor>
    <xdr:from>
      <xdr:col>1</xdr:col>
      <xdr:colOff>0</xdr:colOff>
      <xdr:row>2</xdr:row>
      <xdr:rowOff>0</xdr:rowOff>
    </xdr:from>
    <xdr:to>
      <xdr:col>12</xdr:col>
      <xdr:colOff>451338</xdr:colOff>
      <xdr:row>24</xdr:row>
      <xdr:rowOff>139200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27</xdr:col>
      <xdr:colOff>8966</xdr:colOff>
      <xdr:row>17</xdr:row>
      <xdr:rowOff>105252</xdr:rowOff>
    </xdr:from>
    <xdr:to>
      <xdr:col>30</xdr:col>
      <xdr:colOff>16584</xdr:colOff>
      <xdr:row>40</xdr:row>
      <xdr:rowOff>34636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Docente">
              <a:extLst>
                <a:ext uri="{FF2B5EF4-FFF2-40B4-BE49-F238E27FC236}">
                  <a16:creationId xmlns:a16="http://schemas.microsoft.com/office/drawing/2014/main" id="{00000000-0008-0000-0100-000007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ocen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515166" y="2723761"/>
              <a:ext cx="1454725" cy="346229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it-IT" sz="1100"/>
                <a:t>Questa forma rappresenta un filtro dei dati. I filtri dei dati sono supportati in Excel 2010 o versione successiva.
Se la forma è stata modificata in una versione precedente di Excel o se la cartella di lavoro è stata salvata in Excel 2003 o versioni precedenti, non è possibile usare il filtro dei dati.</a:t>
              </a:r>
            </a:p>
          </xdr:txBody>
        </xdr:sp>
      </mc:Fallback>
    </mc:AlternateContent>
    <xdr:clientData/>
  </xdr:twoCellAnchor>
  <xdr:twoCellAnchor>
    <xdr:from>
      <xdr:col>14</xdr:col>
      <xdr:colOff>0</xdr:colOff>
      <xdr:row>2</xdr:row>
      <xdr:rowOff>0</xdr:rowOff>
    </xdr:from>
    <xdr:to>
      <xdr:col>25</xdr:col>
      <xdr:colOff>467520</xdr:colOff>
      <xdr:row>24</xdr:row>
      <xdr:rowOff>139200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21730</xdr:colOff>
      <xdr:row>62</xdr:row>
      <xdr:rowOff>109484</xdr:rowOff>
    </xdr:from>
    <xdr:to>
      <xdr:col>29</xdr:col>
      <xdr:colOff>425667</xdr:colOff>
      <xdr:row>70</xdr:row>
      <xdr:rowOff>134469</xdr:rowOff>
    </xdr:to>
    <xdr:pic>
      <xdr:nvPicPr>
        <xdr:cNvPr id="16" name="Picture 1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32412" y="9638966"/>
          <a:ext cx="1372126" cy="1244185"/>
        </a:xfrm>
        <a:prstGeom prst="rect">
          <a:avLst/>
        </a:prstGeom>
      </xdr:spPr>
    </xdr:pic>
    <xdr:clientData/>
  </xdr:twoCellAnchor>
  <xdr:twoCellAnchor>
    <xdr:from>
      <xdr:col>19</xdr:col>
      <xdr:colOff>220981</xdr:colOff>
      <xdr:row>53</xdr:row>
      <xdr:rowOff>6803</xdr:rowOff>
    </xdr:from>
    <xdr:to>
      <xdr:col>25</xdr:col>
      <xdr:colOff>475129</xdr:colOff>
      <xdr:row>71</xdr:row>
      <xdr:rowOff>0</xdr:rowOff>
    </xdr:to>
    <xdr:graphicFrame macro="">
      <xdr:nvGraphicFramePr>
        <xdr:cNvPr id="23" name="Chart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14</xdr:col>
      <xdr:colOff>0</xdr:colOff>
      <xdr:row>26</xdr:row>
      <xdr:rowOff>179292</xdr:rowOff>
    </xdr:from>
    <xdr:to>
      <xdr:col>25</xdr:col>
      <xdr:colOff>467520</xdr:colOff>
      <xdr:row>50</xdr:row>
      <xdr:rowOff>93784</xdr:rowOff>
    </xdr:to>
    <xdr:graphicFrame macro="">
      <xdr:nvGraphicFramePr>
        <xdr:cNvPr id="28" name="Chart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0</xdr:colOff>
      <xdr:row>27</xdr:row>
      <xdr:rowOff>0</xdr:rowOff>
    </xdr:from>
    <xdr:to>
      <xdr:col>12</xdr:col>
      <xdr:colOff>464820</xdr:colOff>
      <xdr:row>50</xdr:row>
      <xdr:rowOff>98612</xdr:rowOff>
    </xdr:to>
    <xdr:graphicFrame macro="">
      <xdr:nvGraphicFramePr>
        <xdr:cNvPr id="30" name="Chart 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190500</xdr:colOff>
      <xdr:row>53</xdr:row>
      <xdr:rowOff>0</xdr:rowOff>
    </xdr:from>
    <xdr:to>
      <xdr:col>18</xdr:col>
      <xdr:colOff>519953</xdr:colOff>
      <xdr:row>71</xdr:row>
      <xdr:rowOff>0</xdr:rowOff>
    </xdr:to>
    <xdr:graphicFrame macro="">
      <xdr:nvGraphicFramePr>
        <xdr:cNvPr id="31" name="Chart 30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1033</xdr:colOff>
      <xdr:row>52</xdr:row>
      <xdr:rowOff>177132</xdr:rowOff>
    </xdr:from>
    <xdr:to>
      <xdr:col>8</xdr:col>
      <xdr:colOff>466164</xdr:colOff>
      <xdr:row>70</xdr:row>
      <xdr:rowOff>143435</xdr:rowOff>
    </xdr:to>
    <xdr:graphicFrame macro="">
      <xdr:nvGraphicFramePr>
        <xdr:cNvPr id="32" name="Chart 31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5</xdr:col>
      <xdr:colOff>35859</xdr:colOff>
      <xdr:row>27</xdr:row>
      <xdr:rowOff>0</xdr:rowOff>
    </xdr:from>
    <xdr:to>
      <xdr:col>9</xdr:col>
      <xdr:colOff>92112</xdr:colOff>
      <xdr:row>29</xdr:row>
      <xdr:rowOff>35860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7" name="Coefficienti 1">
              <a:extLst>
                <a:ext uri="{FF2B5EF4-FFF2-40B4-BE49-F238E27FC236}">
                  <a16:creationId xmlns:a16="http://schemas.microsoft.com/office/drawing/2014/main" id="{00000000-0008-0000-0100-00001B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oefficienti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024679" y="4175760"/>
              <a:ext cx="1995543" cy="34065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it-IT" sz="1100"/>
                <a:t>Questa forma rappresenta un filtro dei dati. I filtri dei dati sono supportati in Excel 2010 o versione successiva.
Se la forma è stata modificata in una versione precedente di Excel o se la cartella di lavoro è stata salvata in Excel 2003 o versioni precedenti, non è possibile usare il filtro dei dati.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38100</xdr:colOff>
      <xdr:row>0</xdr:row>
      <xdr:rowOff>350520</xdr:rowOff>
    </xdr:from>
    <xdr:to>
      <xdr:col>22</xdr:col>
      <xdr:colOff>265159</xdr:colOff>
      <xdr:row>0</xdr:row>
      <xdr:rowOff>1288149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846820" y="350520"/>
          <a:ext cx="3793219" cy="937629"/>
        </a:xfrm>
        <a:prstGeom prst="rect">
          <a:avLst/>
        </a:prstGeom>
        <a:noFill/>
      </xdr:spPr>
      <xdr:txBody>
        <a:bodyPr wrap="none" lIns="91440" tIns="45720" rIns="91440" bIns="45720">
          <a:noAutofit/>
        </a:bodyPr>
        <a:lstStyle/>
        <a:p>
          <a:pPr algn="ctr"/>
          <a:r>
            <a:rPr lang="en-US" sz="5400" b="0" cap="none" spc="0">
              <a:ln w="0">
                <a:solidFill>
                  <a:srgbClr val="25BBDE"/>
                </a:solidFill>
              </a:ln>
              <a:solidFill>
                <a:srgbClr val="25BBDE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RICERCA - per</a:t>
          </a:r>
          <a:r>
            <a:rPr lang="en-US" sz="5400" b="0" cap="none" spc="0" baseline="0">
              <a:ln w="0">
                <a:solidFill>
                  <a:srgbClr val="25BBDE"/>
                </a:solidFill>
              </a:ln>
              <a:solidFill>
                <a:srgbClr val="25BBDE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 docente</a:t>
          </a:r>
          <a:endParaRPr lang="en-GB" sz="5400" b="0" cap="none" spc="0">
            <a:ln w="0">
              <a:solidFill>
                <a:srgbClr val="25BBDE"/>
              </a:solidFill>
            </a:ln>
            <a:solidFill>
              <a:srgbClr val="25BBDE"/>
            </a:solidFill>
            <a:effectLst>
              <a:outerShdw blurRad="38100" dist="25400" dir="5400000" algn="ctr" rotWithShape="0">
                <a:srgbClr val="6E747A">
                  <a:alpha val="43000"/>
                </a:srgbClr>
              </a:outerShdw>
            </a:effectLst>
          </a:endParaRPr>
        </a:p>
      </xdr:txBody>
    </xdr:sp>
    <xdr:clientData/>
  </xdr:twoCellAnchor>
  <xdr:twoCellAnchor>
    <xdr:from>
      <xdr:col>22</xdr:col>
      <xdr:colOff>365760</xdr:colOff>
      <xdr:row>15</xdr:row>
      <xdr:rowOff>17428</xdr:rowOff>
    </xdr:from>
    <xdr:to>
      <xdr:col>25</xdr:col>
      <xdr:colOff>167640</xdr:colOff>
      <xdr:row>21</xdr:row>
      <xdr:rowOff>58415</xdr:rowOff>
    </xdr:to>
    <xdr:pic>
      <xdr:nvPicPr>
        <xdr:cNvPr id="4" name="Picture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40640" y="4597048"/>
          <a:ext cx="1264920" cy="1138267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411480</xdr:colOff>
          <xdr:row>3</xdr:row>
          <xdr:rowOff>144780</xdr:rowOff>
        </xdr:from>
        <xdr:to>
          <xdr:col>22</xdr:col>
          <xdr:colOff>342900</xdr:colOff>
          <xdr:row>6</xdr:row>
          <xdr:rowOff>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175260</xdr:colOff>
          <xdr:row>17</xdr:row>
          <xdr:rowOff>129540</xdr:rowOff>
        </xdr:from>
        <xdr:to>
          <xdr:col>10</xdr:col>
          <xdr:colOff>563880</xdr:colOff>
          <xdr:row>19</xdr:row>
          <xdr:rowOff>152400</xdr:rowOff>
        </xdr:to>
        <xdr:sp macro="" textlink="">
          <xdr:nvSpPr>
            <xdr:cNvPr id="4101" name="CommandButton3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3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175260</xdr:colOff>
          <xdr:row>10</xdr:row>
          <xdr:rowOff>137160</xdr:rowOff>
        </xdr:from>
        <xdr:to>
          <xdr:col>12</xdr:col>
          <xdr:colOff>769620</xdr:colOff>
          <xdr:row>13</xdr:row>
          <xdr:rowOff>0</xdr:rowOff>
        </xdr:to>
        <xdr:sp macro="" textlink="">
          <xdr:nvSpPr>
            <xdr:cNvPr id="4102" name="CommandButton2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14</xdr:col>
      <xdr:colOff>103909</xdr:colOff>
      <xdr:row>0</xdr:row>
      <xdr:rowOff>242455</xdr:rowOff>
    </xdr:from>
    <xdr:to>
      <xdr:col>21</xdr:col>
      <xdr:colOff>350364</xdr:colOff>
      <xdr:row>1</xdr:row>
      <xdr:rowOff>50939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7529945" y="242455"/>
          <a:ext cx="4014892" cy="937629"/>
        </a:xfrm>
        <a:prstGeom prst="rect">
          <a:avLst/>
        </a:prstGeom>
        <a:noFill/>
      </xdr:spPr>
      <xdr:txBody>
        <a:bodyPr wrap="none" lIns="91440" tIns="45720" rIns="91440" bIns="45720">
          <a:noAutofit/>
        </a:bodyPr>
        <a:lstStyle/>
        <a:p>
          <a:pPr algn="ctr"/>
          <a:r>
            <a:rPr lang="en-US" sz="5400" b="0" cap="none" spc="0">
              <a:ln w="0">
                <a:solidFill>
                  <a:srgbClr val="25BBDE"/>
                </a:solidFill>
              </a:ln>
              <a:solidFill>
                <a:srgbClr val="25BBDE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NUOVI</a:t>
          </a:r>
          <a:r>
            <a:rPr lang="en-US" sz="5400" b="0" cap="none" spc="0" baseline="0">
              <a:ln w="0">
                <a:solidFill>
                  <a:srgbClr val="25BBDE"/>
                </a:solidFill>
              </a:ln>
              <a:solidFill>
                <a:srgbClr val="25BBDE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 INSERIMENTI</a:t>
          </a:r>
          <a:endParaRPr lang="en-GB" sz="5400" b="0" cap="none" spc="0">
            <a:ln w="0">
              <a:solidFill>
                <a:srgbClr val="25BBDE"/>
              </a:solidFill>
            </a:ln>
            <a:solidFill>
              <a:srgbClr val="25BBDE"/>
            </a:solidFill>
            <a:effectLst>
              <a:outerShdw blurRad="38100" dist="25400" dir="5400000" algn="ctr" rotWithShape="0">
                <a:srgbClr val="6E747A">
                  <a:alpha val="43000"/>
                </a:srgbClr>
              </a:outerShdw>
            </a:effectLst>
          </a:endParaRPr>
        </a:p>
      </xdr:txBody>
    </xdr:sp>
    <xdr:clientData/>
  </xdr:twoCellAnchor>
  <xdr:twoCellAnchor>
    <xdr:from>
      <xdr:col>20</xdr:col>
      <xdr:colOff>193964</xdr:colOff>
      <xdr:row>13</xdr:row>
      <xdr:rowOff>138545</xdr:rowOff>
    </xdr:from>
    <xdr:to>
      <xdr:col>22</xdr:col>
      <xdr:colOff>465973</xdr:colOff>
      <xdr:row>20</xdr:row>
      <xdr:rowOff>147667</xdr:rowOff>
    </xdr:to>
    <xdr:pic>
      <xdr:nvPicPr>
        <xdr:cNvPr id="9" name="Picture 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46873" y="3415145"/>
          <a:ext cx="1241827" cy="1117486"/>
        </a:xfrm>
        <a:prstGeom prst="rect">
          <a:avLst/>
        </a:prstGeom>
      </xdr:spPr>
    </xdr:pic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ara Cuomo" refreshedDate="45016.790946180554" createdVersion="5" refreshedVersion="8" minRefreshableVersion="3" recordCount="0" supportSubquery="1" supportAdvancedDrill="1" xr:uid="{10736C5D-E39A-419A-8A2C-43B680B389E8}">
  <cacheSource type="external" connectionId="5"/>
  <cacheFields count="4">
    <cacheField name="[Corsi].[Docente].[Docente]" caption="Docente" numFmtId="0" hierarchy="11" level="1">
      <sharedItems containsSemiMixedTypes="0" containsNonDate="0" containsString="0"/>
    </cacheField>
    <cacheField name="[Corsi].[Sede].[Sede]" caption="Sede" numFmtId="0" hierarchy="12" level="1">
      <sharedItems count="4">
        <s v="Bari"/>
        <s v="Bologna"/>
        <s v="Napoli"/>
        <s v="Online"/>
      </sharedItems>
    </cacheField>
    <cacheField name="[Corsi].[Materia].[Materia]" caption="Materia" numFmtId="0" hierarchy="3" level="1">
      <sharedItems count="4">
        <s v="Fisica"/>
        <s v="Inglese"/>
        <s v="Italiano"/>
        <s v="Matematica"/>
      </sharedItems>
    </cacheField>
    <cacheField name="[Measures].[Average of Prezzo]" caption="Average of Prezzo" numFmtId="0" hierarchy="22" level="32767"/>
  </cacheFields>
  <cacheHierarchies count="38">
    <cacheHierarchy uniqueName="[Coefficienti].[Coefficienti]" caption="Coefficienti" attribute="1" defaultMemberUniqueName="[Coefficienti].[Coefficienti].[All]" allUniqueName="[Coefficienti].[Coefficienti].[All]" dimensionUniqueName="[Coefficienti]" displayFolder="" count="0" memberValueDatatype="5" unbalanced="0"/>
    <cacheHierarchy uniqueName="[Corsi].[Codice corso]" caption="Codice corso" attribute="1" defaultMemberUniqueName="[Corsi].[Codice corso].[All]" allUniqueName="[Corsi].[Codice corso].[All]" dimensionUniqueName="[Corsi]" displayFolder="" count="0" memberValueDatatype="130" unbalanced="0"/>
    <cacheHierarchy uniqueName="[Corsi].[Corso]" caption="Corso" attribute="1" defaultMemberUniqueName="[Corsi].[Corso].[All]" allUniqueName="[Corsi].[Corso].[All]" dimensionUniqueName="[Corsi]" displayFolder="" count="0" memberValueDatatype="130" unbalanced="0"/>
    <cacheHierarchy uniqueName="[Corsi].[Materia]" caption="Materia" attribute="1" defaultMemberUniqueName="[Corsi].[Materia].[All]" allUniqueName="[Corsi].[Materia].[All]" dimensionUniqueName="[Corsi]" displayFolder="" count="2" memberValueDatatype="130" unbalanced="0">
      <fieldsUsage count="2">
        <fieldUsage x="-1"/>
        <fieldUsage x="2"/>
      </fieldsUsage>
    </cacheHierarchy>
    <cacheHierarchy uniqueName="[Corsi].[Prezzo orario]" caption="Prezzo orario" attribute="1" defaultMemberUniqueName="[Corsi].[Prezzo orario].[All]" allUniqueName="[Corsi].[Prezzo orario].[All]" dimensionUniqueName="[Corsi]" displayFolder="" count="0" memberValueDatatype="20" unbalanced="0"/>
    <cacheHierarchy uniqueName="[Corsi].[Prezzo]" caption="Prezzo" attribute="1" defaultMemberUniqueName="[Corsi].[Prezzo].[All]" allUniqueName="[Corsi].[Prezzo].[All]" dimensionUniqueName="[Corsi]" displayFolder="" count="0" memberValueDatatype="20" unbalanced="0"/>
    <cacheHierarchy uniqueName="[Corsi].[Ore settimanali]" caption="Ore settimanali" attribute="1" defaultMemberUniqueName="[Corsi].[Ore settimanali].[All]" allUniqueName="[Corsi].[Ore settimanali].[All]" dimensionUniqueName="[Corsi]" displayFolder="" count="0" memberValueDatatype="20" unbalanced="0"/>
    <cacheHierarchy uniqueName="[Corsi].[Durata (h)]" caption="Durata (h)" attribute="1" defaultMemberUniqueName="[Corsi].[Durata (h)].[All]" allUniqueName="[Corsi].[Durata (h)].[All]" dimensionUniqueName="[Corsi]" displayFolder="" count="0" memberValueDatatype="20" unbalanced="0"/>
    <cacheHierarchy uniqueName="[Corsi].[Inizio]" caption="Inizio" attribute="1" time="1" defaultMemberUniqueName="[Corsi].[Inizio].[All]" allUniqueName="[Corsi].[Inizio].[All]" dimensionUniqueName="[Corsi]" displayFolder="" count="0" memberValueDatatype="7" unbalanced="0"/>
    <cacheHierarchy uniqueName="[Corsi].[Fine]" caption="Fine" attribute="1" time="1" defaultMemberUniqueName="[Corsi].[Fine].[All]" allUniqueName="[Corsi].[Fine].[All]" dimensionUniqueName="[Corsi]" displayFolder="" count="0" memberValueDatatype="7" unbalanced="0"/>
    <cacheHierarchy uniqueName="[Corsi].[Inizio slot]" caption="Inizio slot" attribute="1" defaultMemberUniqueName="[Corsi].[Inizio slot].[All]" allUniqueName="[Corsi].[Inizio slot].[All]" dimensionUniqueName="[Corsi]" displayFolder="" count="0" memberValueDatatype="130" unbalanced="0"/>
    <cacheHierarchy uniqueName="[Corsi].[Docente]" caption="Docente" attribute="1" defaultMemberUniqueName="[Corsi].[Docente].[All]" allUniqueName="[Corsi].[Docente].[All]" dimensionUniqueName="[Corsi]" displayFolder="" count="2" memberValueDatatype="130" unbalanced="0">
      <fieldsUsage count="2">
        <fieldUsage x="-1"/>
        <fieldUsage x="0"/>
      </fieldsUsage>
    </cacheHierarchy>
    <cacheHierarchy uniqueName="[Corsi].[Sede]" caption="Sede" attribute="1" defaultMemberUniqueName="[Corsi].[Sede].[All]" allUniqueName="[Corsi].[Sede].[All]" dimensionUniqueName="[Corsi]" displayFolder="" count="2" memberValueDatatype="130" unbalanced="0">
      <fieldsUsage count="2">
        <fieldUsage x="-1"/>
        <fieldUsage x="1"/>
      </fieldsUsage>
    </cacheHierarchy>
    <cacheHierarchy uniqueName="[Docenti].[Nominativo]" caption="Nominativo" attribute="1" defaultMemberUniqueName="[Docenti].[Nominativo].[All]" allUniqueName="[Docenti].[Nominativo].[All]" dimensionUniqueName="[Docenti]" displayFolder="" count="0" memberValueDatatype="130" unbalanced="0"/>
    <cacheHierarchy uniqueName="[Docenti].[ID]" caption="ID" attribute="1" defaultMemberUniqueName="[Docenti].[ID].[All]" allUniqueName="[Docenti].[ID].[All]" dimensionUniqueName="[Docenti]" displayFolder="" count="0" memberValueDatatype="20" unbalanced="0"/>
    <cacheHierarchy uniqueName="[Docenti].[Residenza]" caption="Residenza" attribute="1" defaultMemberUniqueName="[Docenti].[Residenza].[All]" allUniqueName="[Docenti].[Residenza].[All]" dimensionUniqueName="[Docenti]" displayFolder="" count="0" memberValueDatatype="130" unbalanced="0"/>
    <cacheHierarchy uniqueName="[Docenti].[Data Nascita]" caption="Data Nascita" attribute="1" time="1" defaultMemberUniqueName="[Docenti].[Data Nascita].[All]" allUniqueName="[Docenti].[Data Nascita].[All]" dimensionUniqueName="[Docenti]" displayFolder="" count="0" memberValueDatatype="7" unbalanced="0"/>
    <cacheHierarchy uniqueName="[Docenti].[Materia]" caption="Materia" attribute="1" defaultMemberUniqueName="[Docenti].[Materia].[All]" allUniqueName="[Docenti].[Materia].[All]" dimensionUniqueName="[Docenti]" displayFolder="" count="0" memberValueDatatype="130" unbalanced="0"/>
    <cacheHierarchy uniqueName="[Sedi].[Aula]" caption="Aula" attribute="1" defaultMemberUniqueName="[Sedi].[Aula].[All]" allUniqueName="[Sedi].[Aula].[All]" dimensionUniqueName="[Sedi]" displayFolder="" count="0" memberValueDatatype="130" unbalanced="0"/>
    <cacheHierarchy uniqueName="[Sedi].[Indirizzo]" caption="Indirizzo" attribute="1" defaultMemberUniqueName="[Sedi].[Indirizzo].[All]" allUniqueName="[Sedi].[Indirizzo].[All]" dimensionUniqueName="[Sedi]" displayFolder="" count="0" memberValueDatatype="130" unbalanced="0"/>
    <cacheHierarchy uniqueName="[Sedi].[Capienza]" caption="Capienza" attribute="1" defaultMemberUniqueName="[Sedi].[Capienza].[All]" allUniqueName="[Sedi].[Capienza].[All]" dimensionUniqueName="[Sedi]" displayFolder="" count="0" memberValueDatatype="20" unbalanced="0"/>
    <cacheHierarchy uniqueName="[Measures].[Sum of Prezzo]" caption="Sum of Prezzo" measure="1" displayFolder="" measureGroup="Corsi" count="0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Average of Prezzo]" caption="Average of Prezzo" measure="1" displayFolder="" measureGroup="Corsi" count="0" oneField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Sum of Durata (h)]" caption="Sum of Durata (h)" measure="1" displayFolder="" measureGroup="Corsi" count="0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Average of Durata (h)]" caption="Average of Durata (h)" measure="1" displayFolder="" measureGroup="Corsi" count="0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Count of Docente]" caption="Count of Docente" measure="1" displayFolder="" measureGroup="Corsi" count="0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Count of Corso]" caption="Count of Corso" measure="1" displayFolder="" measureGroup="Corsi" count="0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Coefficienti]" caption="Sum of Coefficienti" measure="1" displayFolder="" measureGroup="Coefficienti" count="0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Distinct Count of Coefficienti]" caption="Distinct Count of Coefficienti" measure="1" displayFolder="" measureGroup="Coefficienti" count="0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Count of Coefficienti]" caption="Count of Coefficienti" measure="1" displayFolder="" measureGroup="Coefficienti" count="0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Fatturato massimo]" caption="Fatturato massimo" measure="1" displayFolder="" measureGroup="Corsi" count="0"/>
    <cacheHierarchy uniqueName="[Measures].[Percentuale]" caption="Percentuale" measure="1" displayFolder="" measureGroup="Coefficienti" count="0"/>
    <cacheHierarchy uniqueName="[Measures].[Fatturato]" caption="Fatturato" measure="1" displayFolder="" measureGroup="Corsi" count="0"/>
    <cacheHierarchy uniqueName="[Measures].[__XL_Count Corsi]" caption="__XL_Count Corsi" measure="1" displayFolder="" measureGroup="Corsi" count="0" hidden="1"/>
    <cacheHierarchy uniqueName="[Measures].[__XL_Count Docenti]" caption="__XL_Count Docenti" measure="1" displayFolder="" measureGroup="Docenti" count="0" hidden="1"/>
    <cacheHierarchy uniqueName="[Measures].[__XL_Count Sedi]" caption="__XL_Count Sedi" measure="1" displayFolder="" measureGroup="Sedi" count="0" hidden="1"/>
    <cacheHierarchy uniqueName="[Measures].[__XL_Count Coefficienti]" caption="__XL_Count Coefficienti" measure="1" displayFolder="" measureGroup="Coefficienti" count="0" hidden="1"/>
    <cacheHierarchy uniqueName="[Measures].[__No measures defined]" caption="__No measures defined" measure="1" displayFolder="" count="0" hidden="1"/>
  </cacheHierarchies>
  <kpis count="0"/>
  <dimensions count="5">
    <dimension name="Coefficienti" uniqueName="[Coefficienti]" caption="Coefficienti"/>
    <dimension name="Corsi" uniqueName="[Corsi]" caption="Corsi"/>
    <dimension name="Docenti" uniqueName="[Docenti]" caption="Docenti"/>
    <dimension measure="1" name="Measures" uniqueName="[Measures]" caption="Measures"/>
    <dimension name="Sedi" uniqueName="[Sedi]" caption="Sedi"/>
  </dimensions>
  <measureGroups count="4">
    <measureGroup name="Coefficienti" caption="Coefficienti"/>
    <measureGroup name="Corsi" caption="Corsi"/>
    <measureGroup name="Docenti" caption="Docenti"/>
    <measureGroup name="Sedi" caption="Sedi"/>
  </measureGroups>
  <maps count="6">
    <map measureGroup="0" dimension="0"/>
    <map measureGroup="1" dimension="1"/>
    <map measureGroup="1" dimension="2"/>
    <map measureGroup="1" dimension="4"/>
    <map measureGroup="2" dimension="2"/>
    <map measureGroup="3" dimension="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ara Cuomo" refreshedDate="45016.790947800924" createdVersion="5" refreshedVersion="8" minRefreshableVersion="3" recordCount="0" supportSubquery="1" supportAdvancedDrill="1" xr:uid="{30C41E5C-59E8-4A25-8325-8B72C80EA706}">
  <cacheSource type="external" connectionId="5"/>
  <cacheFields count="4">
    <cacheField name="[Corsi].[Materia].[Materia]" caption="Materia" numFmtId="0" hierarchy="3" level="1">
      <sharedItems count="4">
        <s v="Fisica"/>
        <s v="Inglese"/>
        <s v="Italiano"/>
        <s v="Matematica"/>
      </sharedItems>
    </cacheField>
    <cacheField name="[Corsi].[Docente].[Docente]" caption="Docente" numFmtId="0" hierarchy="11" level="1">
      <sharedItems count="10">
        <s v="Anna Levi"/>
        <s v="Carmela Gerace"/>
        <s v="Gianpaolo Santana"/>
        <s v="Laura Balzani"/>
        <s v="Mariana Dalla Lupa"/>
        <s v="Michele Turetta"/>
        <s v="Nicola Erbetto"/>
        <s v="Paola De Antoniis"/>
        <s v="Simone Simoncelli"/>
        <s v="Tullio Andreatta"/>
      </sharedItems>
    </cacheField>
    <cacheField name="[Measures].[Sum of Prezzo]" caption="Sum of Prezzo" numFmtId="0" hierarchy="21" level="32767"/>
    <cacheField name="[Corsi].[Sede].[Sede]" caption="Sede" numFmtId="0" hierarchy="12" level="1">
      <sharedItems containsSemiMixedTypes="0" containsNonDate="0" containsString="0"/>
    </cacheField>
  </cacheFields>
  <cacheHierarchies count="38">
    <cacheHierarchy uniqueName="[Coefficienti].[Coefficienti]" caption="Coefficienti" attribute="1" defaultMemberUniqueName="[Coefficienti].[Coefficienti].[All]" allUniqueName="[Coefficienti].[Coefficienti].[All]" dimensionUniqueName="[Coefficienti]" displayFolder="" count="0" memberValueDatatype="5" unbalanced="0"/>
    <cacheHierarchy uniqueName="[Corsi].[Codice corso]" caption="Codice corso" attribute="1" defaultMemberUniqueName="[Corsi].[Codice corso].[All]" allUniqueName="[Corsi].[Codice corso].[All]" dimensionUniqueName="[Corsi]" displayFolder="" count="0" memberValueDatatype="130" unbalanced="0"/>
    <cacheHierarchy uniqueName="[Corsi].[Corso]" caption="Corso" attribute="1" defaultMemberUniqueName="[Corsi].[Corso].[All]" allUniqueName="[Corsi].[Corso].[All]" dimensionUniqueName="[Corsi]" displayFolder="" count="0" memberValueDatatype="130" unbalanced="0"/>
    <cacheHierarchy uniqueName="[Corsi].[Materia]" caption="Materia" attribute="1" defaultMemberUniqueName="[Corsi].[Materia].[All]" allUniqueName="[Corsi].[Materia].[All]" dimensionUniqueName="[Corsi]" displayFolder="" count="2" memberValueDatatype="130" unbalanced="0">
      <fieldsUsage count="2">
        <fieldUsage x="-1"/>
        <fieldUsage x="0"/>
      </fieldsUsage>
    </cacheHierarchy>
    <cacheHierarchy uniqueName="[Corsi].[Prezzo orario]" caption="Prezzo orario" attribute="1" defaultMemberUniqueName="[Corsi].[Prezzo orario].[All]" allUniqueName="[Corsi].[Prezzo orario].[All]" dimensionUniqueName="[Corsi]" displayFolder="" count="0" memberValueDatatype="20" unbalanced="0"/>
    <cacheHierarchy uniqueName="[Corsi].[Prezzo]" caption="Prezzo" attribute="1" defaultMemberUniqueName="[Corsi].[Prezzo].[All]" allUniqueName="[Corsi].[Prezzo].[All]" dimensionUniqueName="[Corsi]" displayFolder="" count="0" memberValueDatatype="20" unbalanced="0"/>
    <cacheHierarchy uniqueName="[Corsi].[Ore settimanali]" caption="Ore settimanali" attribute="1" defaultMemberUniqueName="[Corsi].[Ore settimanali].[All]" allUniqueName="[Corsi].[Ore settimanali].[All]" dimensionUniqueName="[Corsi]" displayFolder="" count="0" memberValueDatatype="20" unbalanced="0"/>
    <cacheHierarchy uniqueName="[Corsi].[Durata (h)]" caption="Durata (h)" attribute="1" defaultMemberUniqueName="[Corsi].[Durata (h)].[All]" allUniqueName="[Corsi].[Durata (h)].[All]" dimensionUniqueName="[Corsi]" displayFolder="" count="0" memberValueDatatype="20" unbalanced="0"/>
    <cacheHierarchy uniqueName="[Corsi].[Inizio]" caption="Inizio" attribute="1" time="1" defaultMemberUniqueName="[Corsi].[Inizio].[All]" allUniqueName="[Corsi].[Inizio].[All]" dimensionUniqueName="[Corsi]" displayFolder="" count="0" memberValueDatatype="7" unbalanced="0"/>
    <cacheHierarchy uniqueName="[Corsi].[Fine]" caption="Fine" attribute="1" time="1" defaultMemberUniqueName="[Corsi].[Fine].[All]" allUniqueName="[Corsi].[Fine].[All]" dimensionUniqueName="[Corsi]" displayFolder="" count="0" memberValueDatatype="7" unbalanced="0"/>
    <cacheHierarchy uniqueName="[Corsi].[Inizio slot]" caption="Inizio slot" attribute="1" defaultMemberUniqueName="[Corsi].[Inizio slot].[All]" allUniqueName="[Corsi].[Inizio slot].[All]" dimensionUniqueName="[Corsi]" displayFolder="" count="0" memberValueDatatype="130" unbalanced="0"/>
    <cacheHierarchy uniqueName="[Corsi].[Docente]" caption="Docente" attribute="1" defaultMemberUniqueName="[Corsi].[Docente].[All]" allUniqueName="[Corsi].[Docente].[All]" dimensionUniqueName="[Corsi]" displayFolder="" count="2" memberValueDatatype="130" unbalanced="0">
      <fieldsUsage count="2">
        <fieldUsage x="-1"/>
        <fieldUsage x="1"/>
      </fieldsUsage>
    </cacheHierarchy>
    <cacheHierarchy uniqueName="[Corsi].[Sede]" caption="Sede" attribute="1" defaultMemberUniqueName="[Corsi].[Sede].[All]" allUniqueName="[Corsi].[Sede].[All]" dimensionUniqueName="[Corsi]" displayFolder="" count="2" memberValueDatatype="130" unbalanced="0">
      <fieldsUsage count="2">
        <fieldUsage x="-1"/>
        <fieldUsage x="3"/>
      </fieldsUsage>
    </cacheHierarchy>
    <cacheHierarchy uniqueName="[Docenti].[Nominativo]" caption="Nominativo" attribute="1" defaultMemberUniqueName="[Docenti].[Nominativo].[All]" allUniqueName="[Docenti].[Nominativo].[All]" dimensionUniqueName="[Docenti]" displayFolder="" count="0" memberValueDatatype="130" unbalanced="0"/>
    <cacheHierarchy uniqueName="[Docenti].[ID]" caption="ID" attribute="1" defaultMemberUniqueName="[Docenti].[ID].[All]" allUniqueName="[Docenti].[ID].[All]" dimensionUniqueName="[Docenti]" displayFolder="" count="0" memberValueDatatype="20" unbalanced="0"/>
    <cacheHierarchy uniqueName="[Docenti].[Residenza]" caption="Residenza" attribute="1" defaultMemberUniqueName="[Docenti].[Residenza].[All]" allUniqueName="[Docenti].[Residenza].[All]" dimensionUniqueName="[Docenti]" displayFolder="" count="0" memberValueDatatype="130" unbalanced="0"/>
    <cacheHierarchy uniqueName="[Docenti].[Data Nascita]" caption="Data Nascita" attribute="1" time="1" defaultMemberUniqueName="[Docenti].[Data Nascita].[All]" allUniqueName="[Docenti].[Data Nascita].[All]" dimensionUniqueName="[Docenti]" displayFolder="" count="0" memberValueDatatype="7" unbalanced="0"/>
    <cacheHierarchy uniqueName="[Docenti].[Materia]" caption="Materia" attribute="1" defaultMemberUniqueName="[Docenti].[Materia].[All]" allUniqueName="[Docenti].[Materia].[All]" dimensionUniqueName="[Docenti]" displayFolder="" count="0" memberValueDatatype="130" unbalanced="0"/>
    <cacheHierarchy uniqueName="[Sedi].[Aula]" caption="Aula" attribute="1" defaultMemberUniqueName="[Sedi].[Aula].[All]" allUniqueName="[Sedi].[Aula].[All]" dimensionUniqueName="[Sedi]" displayFolder="" count="0" memberValueDatatype="130" unbalanced="0"/>
    <cacheHierarchy uniqueName="[Sedi].[Indirizzo]" caption="Indirizzo" attribute="1" defaultMemberUniqueName="[Sedi].[Indirizzo].[All]" allUniqueName="[Sedi].[Indirizzo].[All]" dimensionUniqueName="[Sedi]" displayFolder="" count="0" memberValueDatatype="130" unbalanced="0"/>
    <cacheHierarchy uniqueName="[Sedi].[Capienza]" caption="Capienza" attribute="1" defaultMemberUniqueName="[Sedi].[Capienza].[All]" allUniqueName="[Sedi].[Capienza].[All]" dimensionUniqueName="[Sedi]" displayFolder="" count="0" memberValueDatatype="20" unbalanced="0"/>
    <cacheHierarchy uniqueName="[Measures].[Sum of Prezzo]" caption="Sum of Prezzo" measure="1" displayFolder="" measureGroup="Corsi" count="0" oneField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Average of Prezzo]" caption="Average of Prezzo" measure="1" displayFolder="" measureGroup="Corsi" count="0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Sum of Durata (h)]" caption="Sum of Durata (h)" measure="1" displayFolder="" measureGroup="Corsi" count="0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Average of Durata (h)]" caption="Average of Durata (h)" measure="1" displayFolder="" measureGroup="Corsi" count="0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Count of Docente]" caption="Count of Docente" measure="1" displayFolder="" measureGroup="Corsi" count="0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Count of Corso]" caption="Count of Corso" measure="1" displayFolder="" measureGroup="Corsi" count="0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Coefficienti]" caption="Sum of Coefficienti" measure="1" displayFolder="" measureGroup="Coefficienti" count="0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Distinct Count of Coefficienti]" caption="Distinct Count of Coefficienti" measure="1" displayFolder="" measureGroup="Coefficienti" count="0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Count of Coefficienti]" caption="Count of Coefficienti" measure="1" displayFolder="" measureGroup="Coefficienti" count="0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Fatturato massimo]" caption="Fatturato massimo" measure="1" displayFolder="" measureGroup="Corsi" count="0"/>
    <cacheHierarchy uniqueName="[Measures].[Percentuale]" caption="Percentuale" measure="1" displayFolder="" measureGroup="Coefficienti" count="0"/>
    <cacheHierarchy uniqueName="[Measures].[Fatturato]" caption="Fatturato" measure="1" displayFolder="" measureGroup="Corsi" count="0"/>
    <cacheHierarchy uniqueName="[Measures].[__XL_Count Corsi]" caption="__XL_Count Corsi" measure="1" displayFolder="" measureGroup="Corsi" count="0" hidden="1"/>
    <cacheHierarchy uniqueName="[Measures].[__XL_Count Docenti]" caption="__XL_Count Docenti" measure="1" displayFolder="" measureGroup="Docenti" count="0" hidden="1"/>
    <cacheHierarchy uniqueName="[Measures].[__XL_Count Sedi]" caption="__XL_Count Sedi" measure="1" displayFolder="" measureGroup="Sedi" count="0" hidden="1"/>
    <cacheHierarchy uniqueName="[Measures].[__XL_Count Coefficienti]" caption="__XL_Count Coefficienti" measure="1" displayFolder="" measureGroup="Coefficienti" count="0" hidden="1"/>
    <cacheHierarchy uniqueName="[Measures].[__No measures defined]" caption="__No measures defined" measure="1" displayFolder="" count="0" hidden="1"/>
  </cacheHierarchies>
  <kpis count="0"/>
  <dimensions count="5">
    <dimension name="Coefficienti" uniqueName="[Coefficienti]" caption="Coefficienti"/>
    <dimension name="Corsi" uniqueName="[Corsi]" caption="Corsi"/>
    <dimension name="Docenti" uniqueName="[Docenti]" caption="Docenti"/>
    <dimension measure="1" name="Measures" uniqueName="[Measures]" caption="Measures"/>
    <dimension name="Sedi" uniqueName="[Sedi]" caption="Sedi"/>
  </dimensions>
  <measureGroups count="4">
    <measureGroup name="Coefficienti" caption="Coefficienti"/>
    <measureGroup name="Corsi" caption="Corsi"/>
    <measureGroup name="Docenti" caption="Docenti"/>
    <measureGroup name="Sedi" caption="Sedi"/>
  </measureGroups>
  <maps count="6">
    <map measureGroup="0" dimension="0"/>
    <map measureGroup="1" dimension="1"/>
    <map measureGroup="1" dimension="2"/>
    <map measureGroup="1" dimension="4"/>
    <map measureGroup="2" dimension="2"/>
    <map measureGroup="3" dimension="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ara Cuomo" refreshedDate="45016.790951041665" createdVersion="5" refreshedVersion="8" minRefreshableVersion="3" recordCount="0" supportSubquery="1" supportAdvancedDrill="1" xr:uid="{032561C2-DC2D-40A7-8D3E-76CF9BAB7AE8}">
  <cacheSource type="external" connectionId="5"/>
  <cacheFields count="4">
    <cacheField name="[Corsi].[Materia].[Materia]" caption="Materia" numFmtId="0" hierarchy="3" level="1">
      <sharedItems count="4">
        <s v="Fisica"/>
        <s v="Inglese"/>
        <s v="Italiano"/>
        <s v="Matematica"/>
      </sharedItems>
    </cacheField>
    <cacheField name="[Corsi].[Docente].[Docente]" caption="Docente" numFmtId="0" hierarchy="11" level="1">
      <sharedItems containsSemiMixedTypes="0" containsNonDate="0" containsString="0"/>
    </cacheField>
    <cacheField name="[Measures].[Average of Durata (h)]" caption="Average of Durata (h)" numFmtId="0" hierarchy="24" level="32767"/>
    <cacheField name="[Corsi].[Sede].[Sede]" caption="Sede" numFmtId="0" hierarchy="12" level="1">
      <sharedItems containsSemiMixedTypes="0" containsNonDate="0" containsString="0"/>
    </cacheField>
  </cacheFields>
  <cacheHierarchies count="38">
    <cacheHierarchy uniqueName="[Coefficienti].[Coefficienti]" caption="Coefficienti" attribute="1" defaultMemberUniqueName="[Coefficienti].[Coefficienti].[All]" allUniqueName="[Coefficienti].[Coefficienti].[All]" dimensionUniqueName="[Coefficienti]" displayFolder="" count="0" memberValueDatatype="5" unbalanced="0"/>
    <cacheHierarchy uniqueName="[Corsi].[Codice corso]" caption="Codice corso" attribute="1" defaultMemberUniqueName="[Corsi].[Codice corso].[All]" allUniqueName="[Corsi].[Codice corso].[All]" dimensionUniqueName="[Corsi]" displayFolder="" count="0" memberValueDatatype="130" unbalanced="0"/>
    <cacheHierarchy uniqueName="[Corsi].[Corso]" caption="Corso" attribute="1" defaultMemberUniqueName="[Corsi].[Corso].[All]" allUniqueName="[Corsi].[Corso].[All]" dimensionUniqueName="[Corsi]" displayFolder="" count="0" memberValueDatatype="130" unbalanced="0"/>
    <cacheHierarchy uniqueName="[Corsi].[Materia]" caption="Materia" attribute="1" defaultMemberUniqueName="[Corsi].[Materia].[All]" allUniqueName="[Corsi].[Materia].[All]" dimensionUniqueName="[Corsi]" displayFolder="" count="2" memberValueDatatype="130" unbalanced="0">
      <fieldsUsage count="2">
        <fieldUsage x="-1"/>
        <fieldUsage x="0"/>
      </fieldsUsage>
    </cacheHierarchy>
    <cacheHierarchy uniqueName="[Corsi].[Prezzo orario]" caption="Prezzo orario" attribute="1" defaultMemberUniqueName="[Corsi].[Prezzo orario].[All]" allUniqueName="[Corsi].[Prezzo orario].[All]" dimensionUniqueName="[Corsi]" displayFolder="" count="0" memberValueDatatype="20" unbalanced="0"/>
    <cacheHierarchy uniqueName="[Corsi].[Prezzo]" caption="Prezzo" attribute="1" defaultMemberUniqueName="[Corsi].[Prezzo].[All]" allUniqueName="[Corsi].[Prezzo].[All]" dimensionUniqueName="[Corsi]" displayFolder="" count="0" memberValueDatatype="20" unbalanced="0"/>
    <cacheHierarchy uniqueName="[Corsi].[Ore settimanali]" caption="Ore settimanali" attribute="1" defaultMemberUniqueName="[Corsi].[Ore settimanali].[All]" allUniqueName="[Corsi].[Ore settimanali].[All]" dimensionUniqueName="[Corsi]" displayFolder="" count="0" memberValueDatatype="20" unbalanced="0"/>
    <cacheHierarchy uniqueName="[Corsi].[Durata (h)]" caption="Durata (h)" attribute="1" defaultMemberUniqueName="[Corsi].[Durata (h)].[All]" allUniqueName="[Corsi].[Durata (h)].[All]" dimensionUniqueName="[Corsi]" displayFolder="" count="0" memberValueDatatype="20" unbalanced="0"/>
    <cacheHierarchy uniqueName="[Corsi].[Inizio]" caption="Inizio" attribute="1" time="1" defaultMemberUniqueName="[Corsi].[Inizio].[All]" allUniqueName="[Corsi].[Inizio].[All]" dimensionUniqueName="[Corsi]" displayFolder="" count="0" memberValueDatatype="7" unbalanced="0"/>
    <cacheHierarchy uniqueName="[Corsi].[Fine]" caption="Fine" attribute="1" time="1" defaultMemberUniqueName="[Corsi].[Fine].[All]" allUniqueName="[Corsi].[Fine].[All]" dimensionUniqueName="[Corsi]" displayFolder="" count="0" memberValueDatatype="7" unbalanced="0"/>
    <cacheHierarchy uniqueName="[Corsi].[Inizio slot]" caption="Inizio slot" attribute="1" defaultMemberUniqueName="[Corsi].[Inizio slot].[All]" allUniqueName="[Corsi].[Inizio slot].[All]" dimensionUniqueName="[Corsi]" displayFolder="" count="0" memberValueDatatype="130" unbalanced="0"/>
    <cacheHierarchy uniqueName="[Corsi].[Docente]" caption="Docente" attribute="1" defaultMemberUniqueName="[Corsi].[Docente].[All]" allUniqueName="[Corsi].[Docente].[All]" dimensionUniqueName="[Corsi]" displayFolder="" count="2" memberValueDatatype="130" unbalanced="0">
      <fieldsUsage count="2">
        <fieldUsage x="-1"/>
        <fieldUsage x="1"/>
      </fieldsUsage>
    </cacheHierarchy>
    <cacheHierarchy uniqueName="[Corsi].[Sede]" caption="Sede" attribute="1" defaultMemberUniqueName="[Corsi].[Sede].[All]" allUniqueName="[Corsi].[Sede].[All]" dimensionUniqueName="[Corsi]" displayFolder="" count="2" memberValueDatatype="130" unbalanced="0">
      <fieldsUsage count="2">
        <fieldUsage x="-1"/>
        <fieldUsage x="3"/>
      </fieldsUsage>
    </cacheHierarchy>
    <cacheHierarchy uniqueName="[Docenti].[Nominativo]" caption="Nominativo" attribute="1" defaultMemberUniqueName="[Docenti].[Nominativo].[All]" allUniqueName="[Docenti].[Nominativo].[All]" dimensionUniqueName="[Docenti]" displayFolder="" count="0" memberValueDatatype="130" unbalanced="0"/>
    <cacheHierarchy uniqueName="[Docenti].[ID]" caption="ID" attribute="1" defaultMemberUniqueName="[Docenti].[ID].[All]" allUniqueName="[Docenti].[ID].[All]" dimensionUniqueName="[Docenti]" displayFolder="" count="0" memberValueDatatype="20" unbalanced="0"/>
    <cacheHierarchy uniqueName="[Docenti].[Residenza]" caption="Residenza" attribute="1" defaultMemberUniqueName="[Docenti].[Residenza].[All]" allUniqueName="[Docenti].[Residenza].[All]" dimensionUniqueName="[Docenti]" displayFolder="" count="0" memberValueDatatype="130" unbalanced="0"/>
    <cacheHierarchy uniqueName="[Docenti].[Data Nascita]" caption="Data Nascita" attribute="1" time="1" defaultMemberUniqueName="[Docenti].[Data Nascita].[All]" allUniqueName="[Docenti].[Data Nascita].[All]" dimensionUniqueName="[Docenti]" displayFolder="" count="0" memberValueDatatype="7" unbalanced="0"/>
    <cacheHierarchy uniqueName="[Docenti].[Materia]" caption="Materia" attribute="1" defaultMemberUniqueName="[Docenti].[Materia].[All]" allUniqueName="[Docenti].[Materia].[All]" dimensionUniqueName="[Docenti]" displayFolder="" count="0" memberValueDatatype="130" unbalanced="0"/>
    <cacheHierarchy uniqueName="[Sedi].[Aula]" caption="Aula" attribute="1" defaultMemberUniqueName="[Sedi].[Aula].[All]" allUniqueName="[Sedi].[Aula].[All]" dimensionUniqueName="[Sedi]" displayFolder="" count="0" memberValueDatatype="130" unbalanced="0"/>
    <cacheHierarchy uniqueName="[Sedi].[Indirizzo]" caption="Indirizzo" attribute="1" defaultMemberUniqueName="[Sedi].[Indirizzo].[All]" allUniqueName="[Sedi].[Indirizzo].[All]" dimensionUniqueName="[Sedi]" displayFolder="" count="0" memberValueDatatype="130" unbalanced="0"/>
    <cacheHierarchy uniqueName="[Sedi].[Capienza]" caption="Capienza" attribute="1" defaultMemberUniqueName="[Sedi].[Capienza].[All]" allUniqueName="[Sedi].[Capienza].[All]" dimensionUniqueName="[Sedi]" displayFolder="" count="0" memberValueDatatype="20" unbalanced="0"/>
    <cacheHierarchy uniqueName="[Measures].[Sum of Prezzo]" caption="Sum of Prezzo" measure="1" displayFolder="" measureGroup="Corsi" count="0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Average of Prezzo]" caption="Average of Prezzo" measure="1" displayFolder="" measureGroup="Corsi" count="0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Sum of Durata (h)]" caption="Sum of Durata (h)" measure="1" displayFolder="" measureGroup="Corsi" count="0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Average of Durata (h)]" caption="Average of Durata (h)" measure="1" displayFolder="" measureGroup="Corsi" count="0" oneField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Count of Docente]" caption="Count of Docente" measure="1" displayFolder="" measureGroup="Corsi" count="0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Count of Corso]" caption="Count of Corso" measure="1" displayFolder="" measureGroup="Corsi" count="0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Coefficienti]" caption="Sum of Coefficienti" measure="1" displayFolder="" measureGroup="Coefficienti" count="0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Distinct Count of Coefficienti]" caption="Distinct Count of Coefficienti" measure="1" displayFolder="" measureGroup="Coefficienti" count="0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Count of Coefficienti]" caption="Count of Coefficienti" measure="1" displayFolder="" measureGroup="Coefficienti" count="0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Fatturato massimo]" caption="Fatturato massimo" measure="1" displayFolder="" measureGroup="Corsi" count="0"/>
    <cacheHierarchy uniqueName="[Measures].[Percentuale]" caption="Percentuale" measure="1" displayFolder="" measureGroup="Coefficienti" count="0"/>
    <cacheHierarchy uniqueName="[Measures].[Fatturato]" caption="Fatturato" measure="1" displayFolder="" measureGroup="Corsi" count="0"/>
    <cacheHierarchy uniqueName="[Measures].[__XL_Count Corsi]" caption="__XL_Count Corsi" measure="1" displayFolder="" measureGroup="Corsi" count="0" hidden="1"/>
    <cacheHierarchy uniqueName="[Measures].[__XL_Count Docenti]" caption="__XL_Count Docenti" measure="1" displayFolder="" measureGroup="Docenti" count="0" hidden="1"/>
    <cacheHierarchy uniqueName="[Measures].[__XL_Count Sedi]" caption="__XL_Count Sedi" measure="1" displayFolder="" measureGroup="Sedi" count="0" hidden="1"/>
    <cacheHierarchy uniqueName="[Measures].[__XL_Count Coefficienti]" caption="__XL_Count Coefficienti" measure="1" displayFolder="" measureGroup="Coefficienti" count="0" hidden="1"/>
    <cacheHierarchy uniqueName="[Measures].[__No measures defined]" caption="__No measures defined" measure="1" displayFolder="" count="0" hidden="1"/>
  </cacheHierarchies>
  <kpis count="0"/>
  <dimensions count="5">
    <dimension name="Coefficienti" uniqueName="[Coefficienti]" caption="Coefficienti"/>
    <dimension name="Corsi" uniqueName="[Corsi]" caption="Corsi"/>
    <dimension name="Docenti" uniqueName="[Docenti]" caption="Docenti"/>
    <dimension measure="1" name="Measures" uniqueName="[Measures]" caption="Measures"/>
    <dimension name="Sedi" uniqueName="[Sedi]" caption="Sedi"/>
  </dimensions>
  <measureGroups count="4">
    <measureGroup name="Coefficienti" caption="Coefficienti"/>
    <measureGroup name="Corsi" caption="Corsi"/>
    <measureGroup name="Docenti" caption="Docenti"/>
    <measureGroup name="Sedi" caption="Sedi"/>
  </measureGroups>
  <maps count="6">
    <map measureGroup="0" dimension="0"/>
    <map measureGroup="1" dimension="1"/>
    <map measureGroup="1" dimension="2"/>
    <map measureGroup="1" dimension="4"/>
    <map measureGroup="2" dimension="2"/>
    <map measureGroup="3" dimension="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ara Cuomo" refreshedDate="45016.790953009258" createdVersion="5" refreshedVersion="8" minRefreshableVersion="3" recordCount="0" supportSubquery="1" supportAdvancedDrill="1" xr:uid="{C118B099-1C53-4A03-867E-55AF07A314D2}">
  <cacheSource type="external" connectionId="5"/>
  <cacheFields count="4">
    <cacheField name="[Corsi].[Materia].[Materia]" caption="Materia" numFmtId="0" hierarchy="3" level="1">
      <sharedItems count="4">
        <s v="Fisica"/>
        <s v="Inglese"/>
        <s v="Italiano"/>
        <s v="Matematica"/>
      </sharedItems>
    </cacheField>
    <cacheField name="[Measures].[Count of Docente]" caption="Count of Docente" numFmtId="0" hierarchy="25" level="32767"/>
    <cacheField name="[Corsi].[Docente].[Docente]" caption="Docente" numFmtId="0" hierarchy="11" level="1">
      <sharedItems containsSemiMixedTypes="0" containsNonDate="0" containsString="0"/>
    </cacheField>
    <cacheField name="[Corsi].[Sede].[Sede]" caption="Sede" numFmtId="0" hierarchy="12" level="1">
      <sharedItems containsSemiMixedTypes="0" containsNonDate="0" containsString="0"/>
    </cacheField>
  </cacheFields>
  <cacheHierarchies count="38">
    <cacheHierarchy uniqueName="[Coefficienti].[Coefficienti]" caption="Coefficienti" attribute="1" defaultMemberUniqueName="[Coefficienti].[Coefficienti].[All]" allUniqueName="[Coefficienti].[Coefficienti].[All]" dimensionUniqueName="[Coefficienti]" displayFolder="" count="0" memberValueDatatype="5" unbalanced="0"/>
    <cacheHierarchy uniqueName="[Corsi].[Codice corso]" caption="Codice corso" attribute="1" defaultMemberUniqueName="[Corsi].[Codice corso].[All]" allUniqueName="[Corsi].[Codice corso].[All]" dimensionUniqueName="[Corsi]" displayFolder="" count="0" memberValueDatatype="130" unbalanced="0"/>
    <cacheHierarchy uniqueName="[Corsi].[Corso]" caption="Corso" attribute="1" defaultMemberUniqueName="[Corsi].[Corso].[All]" allUniqueName="[Corsi].[Corso].[All]" dimensionUniqueName="[Corsi]" displayFolder="" count="0" memberValueDatatype="130" unbalanced="0"/>
    <cacheHierarchy uniqueName="[Corsi].[Materia]" caption="Materia" attribute="1" defaultMemberUniqueName="[Corsi].[Materia].[All]" allUniqueName="[Corsi].[Materia].[All]" dimensionUniqueName="[Corsi]" displayFolder="" count="2" memberValueDatatype="130" unbalanced="0">
      <fieldsUsage count="2">
        <fieldUsage x="-1"/>
        <fieldUsage x="0"/>
      </fieldsUsage>
    </cacheHierarchy>
    <cacheHierarchy uniqueName="[Corsi].[Prezzo orario]" caption="Prezzo orario" attribute="1" defaultMemberUniqueName="[Corsi].[Prezzo orario].[All]" allUniqueName="[Corsi].[Prezzo orario].[All]" dimensionUniqueName="[Corsi]" displayFolder="" count="0" memberValueDatatype="20" unbalanced="0"/>
    <cacheHierarchy uniqueName="[Corsi].[Prezzo]" caption="Prezzo" attribute="1" defaultMemberUniqueName="[Corsi].[Prezzo].[All]" allUniqueName="[Corsi].[Prezzo].[All]" dimensionUniqueName="[Corsi]" displayFolder="" count="0" memberValueDatatype="20" unbalanced="0"/>
    <cacheHierarchy uniqueName="[Corsi].[Ore settimanali]" caption="Ore settimanali" attribute="1" defaultMemberUniqueName="[Corsi].[Ore settimanali].[All]" allUniqueName="[Corsi].[Ore settimanali].[All]" dimensionUniqueName="[Corsi]" displayFolder="" count="0" memberValueDatatype="20" unbalanced="0"/>
    <cacheHierarchy uniqueName="[Corsi].[Durata (h)]" caption="Durata (h)" attribute="1" defaultMemberUniqueName="[Corsi].[Durata (h)].[All]" allUniqueName="[Corsi].[Durata (h)].[All]" dimensionUniqueName="[Corsi]" displayFolder="" count="0" memberValueDatatype="20" unbalanced="0"/>
    <cacheHierarchy uniqueName="[Corsi].[Inizio]" caption="Inizio" attribute="1" time="1" defaultMemberUniqueName="[Corsi].[Inizio].[All]" allUniqueName="[Corsi].[Inizio].[All]" dimensionUniqueName="[Corsi]" displayFolder="" count="0" memberValueDatatype="7" unbalanced="0"/>
    <cacheHierarchy uniqueName="[Corsi].[Fine]" caption="Fine" attribute="1" time="1" defaultMemberUniqueName="[Corsi].[Fine].[All]" allUniqueName="[Corsi].[Fine].[All]" dimensionUniqueName="[Corsi]" displayFolder="" count="0" memberValueDatatype="7" unbalanced="0"/>
    <cacheHierarchy uniqueName="[Corsi].[Inizio slot]" caption="Inizio slot" attribute="1" defaultMemberUniqueName="[Corsi].[Inizio slot].[All]" allUniqueName="[Corsi].[Inizio slot].[All]" dimensionUniqueName="[Corsi]" displayFolder="" count="0" memberValueDatatype="130" unbalanced="0"/>
    <cacheHierarchy uniqueName="[Corsi].[Docente]" caption="Docente" attribute="1" defaultMemberUniqueName="[Corsi].[Docente].[All]" allUniqueName="[Corsi].[Docente].[All]" dimensionUniqueName="[Corsi]" displayFolder="" count="2" memberValueDatatype="130" unbalanced="0">
      <fieldsUsage count="2">
        <fieldUsage x="-1"/>
        <fieldUsage x="2"/>
      </fieldsUsage>
    </cacheHierarchy>
    <cacheHierarchy uniqueName="[Corsi].[Sede]" caption="Sede" attribute="1" defaultMemberUniqueName="[Corsi].[Sede].[All]" allUniqueName="[Corsi].[Sede].[All]" dimensionUniqueName="[Corsi]" displayFolder="" count="2" memberValueDatatype="130" unbalanced="0">
      <fieldsUsage count="2">
        <fieldUsage x="-1"/>
        <fieldUsage x="3"/>
      </fieldsUsage>
    </cacheHierarchy>
    <cacheHierarchy uniqueName="[Docenti].[Nominativo]" caption="Nominativo" attribute="1" defaultMemberUniqueName="[Docenti].[Nominativo].[All]" allUniqueName="[Docenti].[Nominativo].[All]" dimensionUniqueName="[Docenti]" displayFolder="" count="0" memberValueDatatype="130" unbalanced="0"/>
    <cacheHierarchy uniqueName="[Docenti].[ID]" caption="ID" attribute="1" defaultMemberUniqueName="[Docenti].[ID].[All]" allUniqueName="[Docenti].[ID].[All]" dimensionUniqueName="[Docenti]" displayFolder="" count="0" memberValueDatatype="20" unbalanced="0"/>
    <cacheHierarchy uniqueName="[Docenti].[Residenza]" caption="Residenza" attribute="1" defaultMemberUniqueName="[Docenti].[Residenza].[All]" allUniqueName="[Docenti].[Residenza].[All]" dimensionUniqueName="[Docenti]" displayFolder="" count="0" memberValueDatatype="130" unbalanced="0"/>
    <cacheHierarchy uniqueName="[Docenti].[Data Nascita]" caption="Data Nascita" attribute="1" time="1" defaultMemberUniqueName="[Docenti].[Data Nascita].[All]" allUniqueName="[Docenti].[Data Nascita].[All]" dimensionUniqueName="[Docenti]" displayFolder="" count="0" memberValueDatatype="7" unbalanced="0"/>
    <cacheHierarchy uniqueName="[Docenti].[Materia]" caption="Materia" attribute="1" defaultMemberUniqueName="[Docenti].[Materia].[All]" allUniqueName="[Docenti].[Materia].[All]" dimensionUniqueName="[Docenti]" displayFolder="" count="0" memberValueDatatype="130" unbalanced="0"/>
    <cacheHierarchy uniqueName="[Sedi].[Aula]" caption="Aula" attribute="1" defaultMemberUniqueName="[Sedi].[Aula].[All]" allUniqueName="[Sedi].[Aula].[All]" dimensionUniqueName="[Sedi]" displayFolder="" count="0" memberValueDatatype="130" unbalanced="0"/>
    <cacheHierarchy uniqueName="[Sedi].[Indirizzo]" caption="Indirizzo" attribute="1" defaultMemberUniqueName="[Sedi].[Indirizzo].[All]" allUniqueName="[Sedi].[Indirizzo].[All]" dimensionUniqueName="[Sedi]" displayFolder="" count="0" memberValueDatatype="130" unbalanced="0"/>
    <cacheHierarchy uniqueName="[Sedi].[Capienza]" caption="Capienza" attribute="1" defaultMemberUniqueName="[Sedi].[Capienza].[All]" allUniqueName="[Sedi].[Capienza].[All]" dimensionUniqueName="[Sedi]" displayFolder="" count="0" memberValueDatatype="20" unbalanced="0"/>
    <cacheHierarchy uniqueName="[Measures].[Sum of Prezzo]" caption="Sum of Prezzo" measure="1" displayFolder="" measureGroup="Corsi" count="0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Average of Prezzo]" caption="Average of Prezzo" measure="1" displayFolder="" measureGroup="Corsi" count="0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Sum of Durata (h)]" caption="Sum of Durata (h)" measure="1" displayFolder="" measureGroup="Corsi" count="0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Average of Durata (h)]" caption="Average of Durata (h)" measure="1" displayFolder="" measureGroup="Corsi" count="0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Count of Docente]" caption="Count of Docente" measure="1" displayFolder="" measureGroup="Corsi" count="0" oneField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Count of Corso]" caption="Count of Corso" measure="1" displayFolder="" measureGroup="Corsi" count="0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Coefficienti]" caption="Sum of Coefficienti" measure="1" displayFolder="" measureGroup="Coefficienti" count="0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Distinct Count of Coefficienti]" caption="Distinct Count of Coefficienti" measure="1" displayFolder="" measureGroup="Coefficienti" count="0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Count of Coefficienti]" caption="Count of Coefficienti" measure="1" displayFolder="" measureGroup="Coefficienti" count="0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Fatturato massimo]" caption="Fatturato massimo" measure="1" displayFolder="" measureGroup="Corsi" count="0"/>
    <cacheHierarchy uniqueName="[Measures].[Percentuale]" caption="Percentuale" measure="1" displayFolder="" measureGroup="Coefficienti" count="0"/>
    <cacheHierarchy uniqueName="[Measures].[Fatturato]" caption="Fatturato" measure="1" displayFolder="" measureGroup="Corsi" count="0"/>
    <cacheHierarchy uniqueName="[Measures].[__XL_Count Corsi]" caption="__XL_Count Corsi" measure="1" displayFolder="" measureGroup="Corsi" count="0" hidden="1"/>
    <cacheHierarchy uniqueName="[Measures].[__XL_Count Docenti]" caption="__XL_Count Docenti" measure="1" displayFolder="" measureGroup="Docenti" count="0" hidden="1"/>
    <cacheHierarchy uniqueName="[Measures].[__XL_Count Sedi]" caption="__XL_Count Sedi" measure="1" displayFolder="" measureGroup="Sedi" count="0" hidden="1"/>
    <cacheHierarchy uniqueName="[Measures].[__XL_Count Coefficienti]" caption="__XL_Count Coefficienti" measure="1" displayFolder="" measureGroup="Coefficienti" count="0" hidden="1"/>
    <cacheHierarchy uniqueName="[Measures].[__No measures defined]" caption="__No measures defined" measure="1" displayFolder="" count="0" hidden="1"/>
  </cacheHierarchies>
  <kpis count="0"/>
  <dimensions count="5">
    <dimension name="Coefficienti" uniqueName="[Coefficienti]" caption="Coefficienti"/>
    <dimension name="Corsi" uniqueName="[Corsi]" caption="Corsi"/>
    <dimension name="Docenti" uniqueName="[Docenti]" caption="Docenti"/>
    <dimension measure="1" name="Measures" uniqueName="[Measures]" caption="Measures"/>
    <dimension name="Sedi" uniqueName="[Sedi]" caption="Sedi"/>
  </dimensions>
  <measureGroups count="4">
    <measureGroup name="Coefficienti" caption="Coefficienti"/>
    <measureGroup name="Corsi" caption="Corsi"/>
    <measureGroup name="Docenti" caption="Docenti"/>
    <measureGroup name="Sedi" caption="Sedi"/>
  </measureGroups>
  <maps count="6">
    <map measureGroup="0" dimension="0"/>
    <map measureGroup="1" dimension="1"/>
    <map measureGroup="1" dimension="2"/>
    <map measureGroup="1" dimension="4"/>
    <map measureGroup="2" dimension="2"/>
    <map measureGroup="3" dimension="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ara Cuomo" refreshedDate="45016.790954629629" createdVersion="5" refreshedVersion="8" minRefreshableVersion="3" recordCount="0" supportSubquery="1" supportAdvancedDrill="1" xr:uid="{3FFE0311-61E7-4392-8AC0-B99416F5596F}">
  <cacheSource type="external" connectionId="5"/>
  <cacheFields count="4">
    <cacheField name="[Corsi].[Materia].[Materia]" caption="Materia" numFmtId="0" hierarchy="3" level="1">
      <sharedItems count="4">
        <s v="Fisica"/>
        <s v="Inglese"/>
        <s v="Italiano"/>
        <s v="Matematica"/>
      </sharedItems>
    </cacheField>
    <cacheField name="[Measures].[Count of Corso]" caption="Count of Corso" numFmtId="0" hierarchy="26" level="32767"/>
    <cacheField name="[Corsi].[Docente].[Docente]" caption="Docente" numFmtId="0" hierarchy="11" level="1">
      <sharedItems containsSemiMixedTypes="0" containsNonDate="0" containsString="0"/>
    </cacheField>
    <cacheField name="[Corsi].[Sede].[Sede]" caption="Sede" numFmtId="0" hierarchy="12" level="1">
      <sharedItems containsSemiMixedTypes="0" containsNonDate="0" containsString="0"/>
    </cacheField>
  </cacheFields>
  <cacheHierarchies count="38">
    <cacheHierarchy uniqueName="[Coefficienti].[Coefficienti]" caption="Coefficienti" attribute="1" defaultMemberUniqueName="[Coefficienti].[Coefficienti].[All]" allUniqueName="[Coefficienti].[Coefficienti].[All]" dimensionUniqueName="[Coefficienti]" displayFolder="" count="0" memberValueDatatype="5" unbalanced="0"/>
    <cacheHierarchy uniqueName="[Corsi].[Codice corso]" caption="Codice corso" attribute="1" defaultMemberUniqueName="[Corsi].[Codice corso].[All]" allUniqueName="[Corsi].[Codice corso].[All]" dimensionUniqueName="[Corsi]" displayFolder="" count="0" memberValueDatatype="130" unbalanced="0"/>
    <cacheHierarchy uniqueName="[Corsi].[Corso]" caption="Corso" attribute="1" defaultMemberUniqueName="[Corsi].[Corso].[All]" allUniqueName="[Corsi].[Corso].[All]" dimensionUniqueName="[Corsi]" displayFolder="" count="0" memberValueDatatype="130" unbalanced="0"/>
    <cacheHierarchy uniqueName="[Corsi].[Materia]" caption="Materia" attribute="1" defaultMemberUniqueName="[Corsi].[Materia].[All]" allUniqueName="[Corsi].[Materia].[All]" dimensionUniqueName="[Corsi]" displayFolder="" count="2" memberValueDatatype="130" unbalanced="0">
      <fieldsUsage count="2">
        <fieldUsage x="-1"/>
        <fieldUsage x="0"/>
      </fieldsUsage>
    </cacheHierarchy>
    <cacheHierarchy uniqueName="[Corsi].[Prezzo orario]" caption="Prezzo orario" attribute="1" defaultMemberUniqueName="[Corsi].[Prezzo orario].[All]" allUniqueName="[Corsi].[Prezzo orario].[All]" dimensionUniqueName="[Corsi]" displayFolder="" count="0" memberValueDatatype="20" unbalanced="0"/>
    <cacheHierarchy uniqueName="[Corsi].[Prezzo]" caption="Prezzo" attribute="1" defaultMemberUniqueName="[Corsi].[Prezzo].[All]" allUniqueName="[Corsi].[Prezzo].[All]" dimensionUniqueName="[Corsi]" displayFolder="" count="0" memberValueDatatype="20" unbalanced="0"/>
    <cacheHierarchy uniqueName="[Corsi].[Ore settimanali]" caption="Ore settimanali" attribute="1" defaultMemberUniqueName="[Corsi].[Ore settimanali].[All]" allUniqueName="[Corsi].[Ore settimanali].[All]" dimensionUniqueName="[Corsi]" displayFolder="" count="0" memberValueDatatype="20" unbalanced="0"/>
    <cacheHierarchy uniqueName="[Corsi].[Durata (h)]" caption="Durata (h)" attribute="1" defaultMemberUniqueName="[Corsi].[Durata (h)].[All]" allUniqueName="[Corsi].[Durata (h)].[All]" dimensionUniqueName="[Corsi]" displayFolder="" count="0" memberValueDatatype="20" unbalanced="0"/>
    <cacheHierarchy uniqueName="[Corsi].[Inizio]" caption="Inizio" attribute="1" time="1" defaultMemberUniqueName="[Corsi].[Inizio].[All]" allUniqueName="[Corsi].[Inizio].[All]" dimensionUniqueName="[Corsi]" displayFolder="" count="0" memberValueDatatype="7" unbalanced="0"/>
    <cacheHierarchy uniqueName="[Corsi].[Fine]" caption="Fine" attribute="1" time="1" defaultMemberUniqueName="[Corsi].[Fine].[All]" allUniqueName="[Corsi].[Fine].[All]" dimensionUniqueName="[Corsi]" displayFolder="" count="0" memberValueDatatype="7" unbalanced="0"/>
    <cacheHierarchy uniqueName="[Corsi].[Inizio slot]" caption="Inizio slot" attribute="1" defaultMemberUniqueName="[Corsi].[Inizio slot].[All]" allUniqueName="[Corsi].[Inizio slot].[All]" dimensionUniqueName="[Corsi]" displayFolder="" count="0" memberValueDatatype="130" unbalanced="0"/>
    <cacheHierarchy uniqueName="[Corsi].[Docente]" caption="Docente" attribute="1" defaultMemberUniqueName="[Corsi].[Docente].[All]" allUniqueName="[Corsi].[Docente].[All]" dimensionUniqueName="[Corsi]" displayFolder="" count="2" memberValueDatatype="130" unbalanced="0">
      <fieldsUsage count="2">
        <fieldUsage x="-1"/>
        <fieldUsage x="2"/>
      </fieldsUsage>
    </cacheHierarchy>
    <cacheHierarchy uniqueName="[Corsi].[Sede]" caption="Sede" attribute="1" defaultMemberUniqueName="[Corsi].[Sede].[All]" allUniqueName="[Corsi].[Sede].[All]" dimensionUniqueName="[Corsi]" displayFolder="" count="2" memberValueDatatype="130" unbalanced="0">
      <fieldsUsage count="2">
        <fieldUsage x="-1"/>
        <fieldUsage x="3"/>
      </fieldsUsage>
    </cacheHierarchy>
    <cacheHierarchy uniqueName="[Docenti].[Nominativo]" caption="Nominativo" attribute="1" defaultMemberUniqueName="[Docenti].[Nominativo].[All]" allUniqueName="[Docenti].[Nominativo].[All]" dimensionUniqueName="[Docenti]" displayFolder="" count="0" memberValueDatatype="130" unbalanced="0"/>
    <cacheHierarchy uniqueName="[Docenti].[ID]" caption="ID" attribute="1" defaultMemberUniqueName="[Docenti].[ID].[All]" allUniqueName="[Docenti].[ID].[All]" dimensionUniqueName="[Docenti]" displayFolder="" count="0" memberValueDatatype="20" unbalanced="0"/>
    <cacheHierarchy uniqueName="[Docenti].[Residenza]" caption="Residenza" attribute="1" defaultMemberUniqueName="[Docenti].[Residenza].[All]" allUniqueName="[Docenti].[Residenza].[All]" dimensionUniqueName="[Docenti]" displayFolder="" count="0" memberValueDatatype="130" unbalanced="0"/>
    <cacheHierarchy uniqueName="[Docenti].[Data Nascita]" caption="Data Nascita" attribute="1" time="1" defaultMemberUniqueName="[Docenti].[Data Nascita].[All]" allUniqueName="[Docenti].[Data Nascita].[All]" dimensionUniqueName="[Docenti]" displayFolder="" count="0" memberValueDatatype="7" unbalanced="0"/>
    <cacheHierarchy uniqueName="[Docenti].[Materia]" caption="Materia" attribute="1" defaultMemberUniqueName="[Docenti].[Materia].[All]" allUniqueName="[Docenti].[Materia].[All]" dimensionUniqueName="[Docenti]" displayFolder="" count="0" memberValueDatatype="130" unbalanced="0"/>
    <cacheHierarchy uniqueName="[Sedi].[Aula]" caption="Aula" attribute="1" defaultMemberUniqueName="[Sedi].[Aula].[All]" allUniqueName="[Sedi].[Aula].[All]" dimensionUniqueName="[Sedi]" displayFolder="" count="0" memberValueDatatype="130" unbalanced="0"/>
    <cacheHierarchy uniqueName="[Sedi].[Indirizzo]" caption="Indirizzo" attribute="1" defaultMemberUniqueName="[Sedi].[Indirizzo].[All]" allUniqueName="[Sedi].[Indirizzo].[All]" dimensionUniqueName="[Sedi]" displayFolder="" count="0" memberValueDatatype="130" unbalanced="0"/>
    <cacheHierarchy uniqueName="[Sedi].[Capienza]" caption="Capienza" attribute="1" defaultMemberUniqueName="[Sedi].[Capienza].[All]" allUniqueName="[Sedi].[Capienza].[All]" dimensionUniqueName="[Sedi]" displayFolder="" count="0" memberValueDatatype="20" unbalanced="0"/>
    <cacheHierarchy uniqueName="[Measures].[Sum of Prezzo]" caption="Sum of Prezzo" measure="1" displayFolder="" measureGroup="Corsi" count="0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Average of Prezzo]" caption="Average of Prezzo" measure="1" displayFolder="" measureGroup="Corsi" count="0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Sum of Durata (h)]" caption="Sum of Durata (h)" measure="1" displayFolder="" measureGroup="Corsi" count="0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Average of Durata (h)]" caption="Average of Durata (h)" measure="1" displayFolder="" measureGroup="Corsi" count="0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Count of Docente]" caption="Count of Docente" measure="1" displayFolder="" measureGroup="Corsi" count="0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Count of Corso]" caption="Count of Corso" measure="1" displayFolder="" measureGroup="Corsi" count="0" oneField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Coefficienti]" caption="Sum of Coefficienti" measure="1" displayFolder="" measureGroup="Coefficienti" count="0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Distinct Count of Coefficienti]" caption="Distinct Count of Coefficienti" measure="1" displayFolder="" measureGroup="Coefficienti" count="0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Count of Coefficienti]" caption="Count of Coefficienti" measure="1" displayFolder="" measureGroup="Coefficienti" count="0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Fatturato massimo]" caption="Fatturato massimo" measure="1" displayFolder="" measureGroup="Corsi" count="0"/>
    <cacheHierarchy uniqueName="[Measures].[Percentuale]" caption="Percentuale" measure="1" displayFolder="" measureGroup="Coefficienti" count="0"/>
    <cacheHierarchy uniqueName="[Measures].[Fatturato]" caption="Fatturato" measure="1" displayFolder="" measureGroup="Corsi" count="0"/>
    <cacheHierarchy uniqueName="[Measures].[__XL_Count Corsi]" caption="__XL_Count Corsi" measure="1" displayFolder="" measureGroup="Corsi" count="0" hidden="1"/>
    <cacheHierarchy uniqueName="[Measures].[__XL_Count Docenti]" caption="__XL_Count Docenti" measure="1" displayFolder="" measureGroup="Docenti" count="0" hidden="1"/>
    <cacheHierarchy uniqueName="[Measures].[__XL_Count Sedi]" caption="__XL_Count Sedi" measure="1" displayFolder="" measureGroup="Sedi" count="0" hidden="1"/>
    <cacheHierarchy uniqueName="[Measures].[__XL_Count Coefficienti]" caption="__XL_Count Coefficienti" measure="1" displayFolder="" measureGroup="Coefficienti" count="0" hidden="1"/>
    <cacheHierarchy uniqueName="[Measures].[__No measures defined]" caption="__No measures defined" measure="1" displayFolder="" count="0" hidden="1"/>
  </cacheHierarchies>
  <kpis count="0"/>
  <dimensions count="5">
    <dimension name="Coefficienti" uniqueName="[Coefficienti]" caption="Coefficienti"/>
    <dimension name="Corsi" uniqueName="[Corsi]" caption="Corsi"/>
    <dimension name="Docenti" uniqueName="[Docenti]" caption="Docenti"/>
    <dimension measure="1" name="Measures" uniqueName="[Measures]" caption="Measures"/>
    <dimension name="Sedi" uniqueName="[Sedi]" caption="Sedi"/>
  </dimensions>
  <measureGroups count="4">
    <measureGroup name="Coefficienti" caption="Coefficienti"/>
    <measureGroup name="Corsi" caption="Corsi"/>
    <measureGroup name="Docenti" caption="Docenti"/>
    <measureGroup name="Sedi" caption="Sedi"/>
  </measureGroups>
  <maps count="6">
    <map measureGroup="0" dimension="0"/>
    <map measureGroup="1" dimension="1"/>
    <map measureGroup="1" dimension="2"/>
    <map measureGroup="1" dimension="4"/>
    <map measureGroup="2" dimension="2"/>
    <map measureGroup="3" dimension="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ara Cuomo" refreshedDate="45016.790956481484" createdVersion="5" refreshedVersion="8" minRefreshableVersion="3" recordCount="0" supportSubquery="1" supportAdvancedDrill="1" xr:uid="{73701C52-A953-4743-A206-E43B34A0EE5C}">
  <cacheSource type="external" connectionId="5"/>
  <cacheFields count="4">
    <cacheField name="[Coefficienti].[Coefficienti].[Coefficienti]" caption="Coefficienti" numFmtId="0" level="1">
      <sharedItems containsSemiMixedTypes="0" containsNonDate="0" containsString="0"/>
    </cacheField>
    <cacheField name="[Measures].[Fatturato]" caption="Fatturato" numFmtId="0" hierarchy="32" level="32767"/>
    <cacheField name="[Corsi].[Sede].[Sede]" caption="Sede" numFmtId="0" hierarchy="12" level="1">
      <sharedItems count="4">
        <s v="Bari"/>
        <s v="Bologna"/>
        <s v="Napoli"/>
        <s v="Online"/>
      </sharedItems>
    </cacheField>
    <cacheField name="[Corsi].[Docente].[Docente]" caption="Docente" numFmtId="0" hierarchy="11" level="1">
      <sharedItems containsSemiMixedTypes="0" containsNonDate="0" containsString="0"/>
    </cacheField>
  </cacheFields>
  <cacheHierarchies count="38">
    <cacheHierarchy uniqueName="[Coefficienti].[Coefficienti]" caption="Coefficienti" attribute="1" defaultMemberUniqueName="[Coefficienti].[Coefficienti].[All]" allUniqueName="[Coefficienti].[Coefficienti].[All]" dimensionUniqueName="[Coefficienti]" displayFolder="" count="2" memberValueDatatype="5" unbalanced="0">
      <fieldsUsage count="2">
        <fieldUsage x="-1"/>
        <fieldUsage x="0"/>
      </fieldsUsage>
    </cacheHierarchy>
    <cacheHierarchy uniqueName="[Corsi].[Codice corso]" caption="Codice corso" attribute="1" defaultMemberUniqueName="[Corsi].[Codice corso].[All]" allUniqueName="[Corsi].[Codice corso].[All]" dimensionUniqueName="[Corsi]" displayFolder="" count="0" memberValueDatatype="130" unbalanced="0"/>
    <cacheHierarchy uniqueName="[Corsi].[Corso]" caption="Corso" attribute="1" defaultMemberUniqueName="[Corsi].[Corso].[All]" allUniqueName="[Corsi].[Corso].[All]" dimensionUniqueName="[Corsi]" displayFolder="" count="0" memberValueDatatype="130" unbalanced="0"/>
    <cacheHierarchy uniqueName="[Corsi].[Materia]" caption="Materia" attribute="1" defaultMemberUniqueName="[Corsi].[Materia].[All]" allUniqueName="[Corsi].[Materia].[All]" dimensionUniqueName="[Corsi]" displayFolder="" count="0" memberValueDatatype="130" unbalanced="0"/>
    <cacheHierarchy uniqueName="[Corsi].[Prezzo orario]" caption="Prezzo orario" attribute="1" defaultMemberUniqueName="[Corsi].[Prezzo orario].[All]" allUniqueName="[Corsi].[Prezzo orario].[All]" dimensionUniqueName="[Corsi]" displayFolder="" count="0" memberValueDatatype="20" unbalanced="0"/>
    <cacheHierarchy uniqueName="[Corsi].[Prezzo]" caption="Prezzo" attribute="1" defaultMemberUniqueName="[Corsi].[Prezzo].[All]" allUniqueName="[Corsi].[Prezzo].[All]" dimensionUniqueName="[Corsi]" displayFolder="" count="0" memberValueDatatype="20" unbalanced="0"/>
    <cacheHierarchy uniqueName="[Corsi].[Ore settimanali]" caption="Ore settimanali" attribute="1" defaultMemberUniqueName="[Corsi].[Ore settimanali].[All]" allUniqueName="[Corsi].[Ore settimanali].[All]" dimensionUniqueName="[Corsi]" displayFolder="" count="0" memberValueDatatype="20" unbalanced="0"/>
    <cacheHierarchy uniqueName="[Corsi].[Durata (h)]" caption="Durata (h)" attribute="1" defaultMemberUniqueName="[Corsi].[Durata (h)].[All]" allUniqueName="[Corsi].[Durata (h)].[All]" dimensionUniqueName="[Corsi]" displayFolder="" count="0" memberValueDatatype="20" unbalanced="0"/>
    <cacheHierarchy uniqueName="[Corsi].[Inizio]" caption="Inizio" attribute="1" time="1" defaultMemberUniqueName="[Corsi].[Inizio].[All]" allUniqueName="[Corsi].[Inizio].[All]" dimensionUniqueName="[Corsi]" displayFolder="" count="0" memberValueDatatype="7" unbalanced="0"/>
    <cacheHierarchy uniqueName="[Corsi].[Fine]" caption="Fine" attribute="1" time="1" defaultMemberUniqueName="[Corsi].[Fine].[All]" allUniqueName="[Corsi].[Fine].[All]" dimensionUniqueName="[Corsi]" displayFolder="" count="0" memberValueDatatype="7" unbalanced="0"/>
    <cacheHierarchy uniqueName="[Corsi].[Inizio slot]" caption="Inizio slot" attribute="1" defaultMemberUniqueName="[Corsi].[Inizio slot].[All]" allUniqueName="[Corsi].[Inizio slot].[All]" dimensionUniqueName="[Corsi]" displayFolder="" count="0" memberValueDatatype="130" unbalanced="0"/>
    <cacheHierarchy uniqueName="[Corsi].[Docente]" caption="Docente" attribute="1" defaultMemberUniqueName="[Corsi].[Docente].[All]" allUniqueName="[Corsi].[Docente].[All]" dimensionUniqueName="[Corsi]" displayFolder="" count="2" memberValueDatatype="130" unbalanced="0">
      <fieldsUsage count="2">
        <fieldUsage x="-1"/>
        <fieldUsage x="3"/>
      </fieldsUsage>
    </cacheHierarchy>
    <cacheHierarchy uniqueName="[Corsi].[Sede]" caption="Sede" attribute="1" defaultMemberUniqueName="[Corsi].[Sede].[All]" allUniqueName="[Corsi].[Sede].[All]" dimensionUniqueName="[Corsi]" displayFolder="" count="2" memberValueDatatype="130" unbalanced="0">
      <fieldsUsage count="2">
        <fieldUsage x="-1"/>
        <fieldUsage x="2"/>
      </fieldsUsage>
    </cacheHierarchy>
    <cacheHierarchy uniqueName="[Docenti].[Nominativo]" caption="Nominativo" attribute="1" defaultMemberUniqueName="[Docenti].[Nominativo].[All]" allUniqueName="[Docenti].[Nominativo].[All]" dimensionUniqueName="[Docenti]" displayFolder="" count="0" memberValueDatatype="130" unbalanced="0"/>
    <cacheHierarchy uniqueName="[Docenti].[ID]" caption="ID" attribute="1" defaultMemberUniqueName="[Docenti].[ID].[All]" allUniqueName="[Docenti].[ID].[All]" dimensionUniqueName="[Docenti]" displayFolder="" count="0" memberValueDatatype="20" unbalanced="0"/>
    <cacheHierarchy uniqueName="[Docenti].[Residenza]" caption="Residenza" attribute="1" defaultMemberUniqueName="[Docenti].[Residenza].[All]" allUniqueName="[Docenti].[Residenza].[All]" dimensionUniqueName="[Docenti]" displayFolder="" count="0" memberValueDatatype="130" unbalanced="0"/>
    <cacheHierarchy uniqueName="[Docenti].[Data Nascita]" caption="Data Nascita" attribute="1" time="1" defaultMemberUniqueName="[Docenti].[Data Nascita].[All]" allUniqueName="[Docenti].[Data Nascita].[All]" dimensionUniqueName="[Docenti]" displayFolder="" count="0" memberValueDatatype="7" unbalanced="0"/>
    <cacheHierarchy uniqueName="[Docenti].[Materia]" caption="Materia" attribute="1" defaultMemberUniqueName="[Docenti].[Materia].[All]" allUniqueName="[Docenti].[Materia].[All]" dimensionUniqueName="[Docenti]" displayFolder="" count="0" memberValueDatatype="130" unbalanced="0"/>
    <cacheHierarchy uniqueName="[Sedi].[Aula]" caption="Aula" attribute="1" defaultMemberUniqueName="[Sedi].[Aula].[All]" allUniqueName="[Sedi].[Aula].[All]" dimensionUniqueName="[Sedi]" displayFolder="" count="0" memberValueDatatype="130" unbalanced="0"/>
    <cacheHierarchy uniqueName="[Sedi].[Indirizzo]" caption="Indirizzo" attribute="1" defaultMemberUniqueName="[Sedi].[Indirizzo].[All]" allUniqueName="[Sedi].[Indirizzo].[All]" dimensionUniqueName="[Sedi]" displayFolder="" count="0" memberValueDatatype="130" unbalanced="0"/>
    <cacheHierarchy uniqueName="[Sedi].[Capienza]" caption="Capienza" attribute="1" defaultMemberUniqueName="[Sedi].[Capienza].[All]" allUniqueName="[Sedi].[Capienza].[All]" dimensionUniqueName="[Sedi]" displayFolder="" count="0" memberValueDatatype="20" unbalanced="0"/>
    <cacheHierarchy uniqueName="[Measures].[Sum of Prezzo]" caption="Sum of Prezzo" measure="1" displayFolder="" measureGroup="Corsi" count="0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Average of Prezzo]" caption="Average of Prezzo" measure="1" displayFolder="" measureGroup="Corsi" count="0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Sum of Durata (h)]" caption="Sum of Durata (h)" measure="1" displayFolder="" measureGroup="Corsi" count="0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Average of Durata (h)]" caption="Average of Durata (h)" measure="1" displayFolder="" measureGroup="Corsi" count="0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Count of Docente]" caption="Count of Docente" measure="1" displayFolder="" measureGroup="Corsi" count="0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Count of Corso]" caption="Count of Corso" measure="1" displayFolder="" measureGroup="Corsi" count="0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Coefficienti]" caption="Sum of Coefficienti" measure="1" displayFolder="" measureGroup="Coefficienti" count="0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Distinct Count of Coefficienti]" caption="Distinct Count of Coefficienti" measure="1" displayFolder="" measureGroup="Coefficienti" count="0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Count of Coefficienti]" caption="Count of Coefficienti" measure="1" displayFolder="" measureGroup="Coefficienti" count="0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Fatturato massimo]" caption="Fatturato massimo" measure="1" displayFolder="" measureGroup="Corsi" count="0"/>
    <cacheHierarchy uniqueName="[Measures].[Percentuale]" caption="Percentuale" measure="1" displayFolder="" measureGroup="Coefficienti" count="0"/>
    <cacheHierarchy uniqueName="[Measures].[Fatturato]" caption="Fatturato" measure="1" displayFolder="" measureGroup="Corsi" count="0" oneField="1">
      <fieldsUsage count="1">
        <fieldUsage x="1"/>
      </fieldsUsage>
    </cacheHierarchy>
    <cacheHierarchy uniqueName="[Measures].[__XL_Count Corsi]" caption="__XL_Count Corsi" measure="1" displayFolder="" measureGroup="Corsi" count="0" hidden="1"/>
    <cacheHierarchy uniqueName="[Measures].[__XL_Count Docenti]" caption="__XL_Count Docenti" measure="1" displayFolder="" measureGroup="Docenti" count="0" hidden="1"/>
    <cacheHierarchy uniqueName="[Measures].[__XL_Count Sedi]" caption="__XL_Count Sedi" measure="1" displayFolder="" measureGroup="Sedi" count="0" hidden="1"/>
    <cacheHierarchy uniqueName="[Measures].[__XL_Count Coefficienti]" caption="__XL_Count Coefficienti" measure="1" displayFolder="" measureGroup="Coefficienti" count="0" hidden="1"/>
    <cacheHierarchy uniqueName="[Measures].[__No measures defined]" caption="__No measures defined" measure="1" displayFolder="" count="0" hidden="1"/>
  </cacheHierarchies>
  <kpis count="0"/>
  <dimensions count="5">
    <dimension name="Coefficienti" uniqueName="[Coefficienti]" caption="Coefficienti"/>
    <dimension name="Corsi" uniqueName="[Corsi]" caption="Corsi"/>
    <dimension name="Docenti" uniqueName="[Docenti]" caption="Docenti"/>
    <dimension measure="1" name="Measures" uniqueName="[Measures]" caption="Measures"/>
    <dimension name="Sedi" uniqueName="[Sedi]" caption="Sedi"/>
  </dimensions>
  <measureGroups count="4">
    <measureGroup name="Coefficienti" caption="Coefficienti"/>
    <measureGroup name="Corsi" caption="Corsi"/>
    <measureGroup name="Docenti" caption="Docenti"/>
    <measureGroup name="Sedi" caption="Sedi"/>
  </measureGroups>
  <maps count="6">
    <map measureGroup="0" dimension="0"/>
    <map measureGroup="1" dimension="1"/>
    <map measureGroup="1" dimension="2"/>
    <map measureGroup="1" dimension="4"/>
    <map measureGroup="2" dimension="2"/>
    <map measureGroup="3" dimension="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ara Cuomo" refreshedDate="45016.790958101854" createdVersion="5" refreshedVersion="8" minRefreshableVersion="3" recordCount="0" supportSubquery="1" supportAdvancedDrill="1" xr:uid="{8E1C2866-376D-46E1-B6DA-C2B0BBB8D738}">
  <cacheSource type="external" connectionId="5"/>
  <cacheFields count="4">
    <cacheField name="[Corsi].[Materia].[Materia]" caption="Materia" numFmtId="0" hierarchy="3" level="1">
      <sharedItems count="4">
        <s v="Fisica"/>
        <s v="Inglese"/>
        <s v="Italiano"/>
        <s v="Matematica"/>
      </sharedItems>
    </cacheField>
    <cacheField name="[Corsi].[Docente].[Docente]" caption="Docente" numFmtId="0" hierarchy="11" level="1">
      <sharedItems count="10">
        <s v="Anna Levi"/>
        <s v="Carmela Gerace"/>
        <s v="Gianpaolo Santana"/>
        <s v="Laura Balzani"/>
        <s v="Mariana Dalla Lupa"/>
        <s v="Michele Turetta"/>
        <s v="Nicola Erbetto"/>
        <s v="Paola De Antoniis"/>
        <s v="Simone Simoncelli"/>
        <s v="Tullio Andreatta"/>
      </sharedItems>
    </cacheField>
    <cacheField name="[Measures].[Fatturato massimo]" caption="Fatturato massimo" numFmtId="0" hierarchy="30" level="32767"/>
    <cacheField name="[Corsi].[Sede].[Sede]" caption="Sede" numFmtId="0" hierarchy="12" level="1">
      <sharedItems containsSemiMixedTypes="0" containsNonDate="0" containsString="0"/>
    </cacheField>
  </cacheFields>
  <cacheHierarchies count="38">
    <cacheHierarchy uniqueName="[Coefficienti].[Coefficienti]" caption="Coefficienti" attribute="1" defaultMemberUniqueName="[Coefficienti].[Coefficienti].[All]" allUniqueName="[Coefficienti].[Coefficienti].[All]" dimensionUniqueName="[Coefficienti]" displayFolder="" count="0" memberValueDatatype="5" unbalanced="0"/>
    <cacheHierarchy uniqueName="[Corsi].[Codice corso]" caption="Codice corso" attribute="1" defaultMemberUniqueName="[Corsi].[Codice corso].[All]" allUniqueName="[Corsi].[Codice corso].[All]" dimensionUniqueName="[Corsi]" displayFolder="" count="0" memberValueDatatype="130" unbalanced="0"/>
    <cacheHierarchy uniqueName="[Corsi].[Corso]" caption="Corso" attribute="1" defaultMemberUniqueName="[Corsi].[Corso].[All]" allUniqueName="[Corsi].[Corso].[All]" dimensionUniqueName="[Corsi]" displayFolder="" count="0" memberValueDatatype="130" unbalanced="0"/>
    <cacheHierarchy uniqueName="[Corsi].[Materia]" caption="Materia" attribute="1" defaultMemberUniqueName="[Corsi].[Materia].[All]" allUniqueName="[Corsi].[Materia].[All]" dimensionUniqueName="[Corsi]" displayFolder="" count="2" memberValueDatatype="130" unbalanced="0">
      <fieldsUsage count="2">
        <fieldUsage x="-1"/>
        <fieldUsage x="0"/>
      </fieldsUsage>
    </cacheHierarchy>
    <cacheHierarchy uniqueName="[Corsi].[Prezzo orario]" caption="Prezzo orario" attribute="1" defaultMemberUniqueName="[Corsi].[Prezzo orario].[All]" allUniqueName="[Corsi].[Prezzo orario].[All]" dimensionUniqueName="[Corsi]" displayFolder="" count="0" memberValueDatatype="20" unbalanced="0"/>
    <cacheHierarchy uniqueName="[Corsi].[Prezzo]" caption="Prezzo" attribute="1" defaultMemberUniqueName="[Corsi].[Prezzo].[All]" allUniqueName="[Corsi].[Prezzo].[All]" dimensionUniqueName="[Corsi]" displayFolder="" count="0" memberValueDatatype="20" unbalanced="0"/>
    <cacheHierarchy uniqueName="[Corsi].[Ore settimanali]" caption="Ore settimanali" attribute="1" defaultMemberUniqueName="[Corsi].[Ore settimanali].[All]" allUniqueName="[Corsi].[Ore settimanali].[All]" dimensionUniqueName="[Corsi]" displayFolder="" count="0" memberValueDatatype="20" unbalanced="0"/>
    <cacheHierarchy uniqueName="[Corsi].[Durata (h)]" caption="Durata (h)" attribute="1" defaultMemberUniqueName="[Corsi].[Durata (h)].[All]" allUniqueName="[Corsi].[Durata (h)].[All]" dimensionUniqueName="[Corsi]" displayFolder="" count="0" memberValueDatatype="20" unbalanced="0"/>
    <cacheHierarchy uniqueName="[Corsi].[Inizio]" caption="Inizio" attribute="1" time="1" defaultMemberUniqueName="[Corsi].[Inizio].[All]" allUniqueName="[Corsi].[Inizio].[All]" dimensionUniqueName="[Corsi]" displayFolder="" count="0" memberValueDatatype="7" unbalanced="0"/>
    <cacheHierarchy uniqueName="[Corsi].[Fine]" caption="Fine" attribute="1" time="1" defaultMemberUniqueName="[Corsi].[Fine].[All]" allUniqueName="[Corsi].[Fine].[All]" dimensionUniqueName="[Corsi]" displayFolder="" count="0" memberValueDatatype="7" unbalanced="0"/>
    <cacheHierarchy uniqueName="[Corsi].[Inizio slot]" caption="Inizio slot" attribute="1" defaultMemberUniqueName="[Corsi].[Inizio slot].[All]" allUniqueName="[Corsi].[Inizio slot].[All]" dimensionUniqueName="[Corsi]" displayFolder="" count="0" memberValueDatatype="130" unbalanced="0"/>
    <cacheHierarchy uniqueName="[Corsi].[Docente]" caption="Docente" attribute="1" defaultMemberUniqueName="[Corsi].[Docente].[All]" allUniqueName="[Corsi].[Docente].[All]" dimensionUniqueName="[Corsi]" displayFolder="" count="2" memberValueDatatype="130" unbalanced="0">
      <fieldsUsage count="2">
        <fieldUsage x="-1"/>
        <fieldUsage x="1"/>
      </fieldsUsage>
    </cacheHierarchy>
    <cacheHierarchy uniqueName="[Corsi].[Sede]" caption="Sede" attribute="1" defaultMemberUniqueName="[Corsi].[Sede].[All]" allUniqueName="[Corsi].[Sede].[All]" dimensionUniqueName="[Corsi]" displayFolder="" count="2" memberValueDatatype="130" unbalanced="0">
      <fieldsUsage count="2">
        <fieldUsage x="-1"/>
        <fieldUsage x="3"/>
      </fieldsUsage>
    </cacheHierarchy>
    <cacheHierarchy uniqueName="[Docenti].[Nominativo]" caption="Nominativo" attribute="1" defaultMemberUniqueName="[Docenti].[Nominativo].[All]" allUniqueName="[Docenti].[Nominativo].[All]" dimensionUniqueName="[Docenti]" displayFolder="" count="0" memberValueDatatype="130" unbalanced="0"/>
    <cacheHierarchy uniqueName="[Docenti].[ID]" caption="ID" attribute="1" defaultMemberUniqueName="[Docenti].[ID].[All]" allUniqueName="[Docenti].[ID].[All]" dimensionUniqueName="[Docenti]" displayFolder="" count="0" memberValueDatatype="20" unbalanced="0"/>
    <cacheHierarchy uniqueName="[Docenti].[Residenza]" caption="Residenza" attribute="1" defaultMemberUniqueName="[Docenti].[Residenza].[All]" allUniqueName="[Docenti].[Residenza].[All]" dimensionUniqueName="[Docenti]" displayFolder="" count="0" memberValueDatatype="130" unbalanced="0"/>
    <cacheHierarchy uniqueName="[Docenti].[Data Nascita]" caption="Data Nascita" attribute="1" time="1" defaultMemberUniqueName="[Docenti].[Data Nascita].[All]" allUniqueName="[Docenti].[Data Nascita].[All]" dimensionUniqueName="[Docenti]" displayFolder="" count="0" memberValueDatatype="7" unbalanced="0"/>
    <cacheHierarchy uniqueName="[Docenti].[Materia]" caption="Materia" attribute="1" defaultMemberUniqueName="[Docenti].[Materia].[All]" allUniqueName="[Docenti].[Materia].[All]" dimensionUniqueName="[Docenti]" displayFolder="" count="0" memberValueDatatype="130" unbalanced="0"/>
    <cacheHierarchy uniqueName="[Sedi].[Aula]" caption="Aula" attribute="1" defaultMemberUniqueName="[Sedi].[Aula].[All]" allUniqueName="[Sedi].[Aula].[All]" dimensionUniqueName="[Sedi]" displayFolder="" count="0" memberValueDatatype="130" unbalanced="0"/>
    <cacheHierarchy uniqueName="[Sedi].[Indirizzo]" caption="Indirizzo" attribute="1" defaultMemberUniqueName="[Sedi].[Indirizzo].[All]" allUniqueName="[Sedi].[Indirizzo].[All]" dimensionUniqueName="[Sedi]" displayFolder="" count="0" memberValueDatatype="130" unbalanced="0"/>
    <cacheHierarchy uniqueName="[Sedi].[Capienza]" caption="Capienza" attribute="1" defaultMemberUniqueName="[Sedi].[Capienza].[All]" allUniqueName="[Sedi].[Capienza].[All]" dimensionUniqueName="[Sedi]" displayFolder="" count="0" memberValueDatatype="20" unbalanced="0"/>
    <cacheHierarchy uniqueName="[Measures].[Sum of Prezzo]" caption="Sum of Prezzo" measure="1" displayFolder="" measureGroup="Corsi" count="0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Average of Prezzo]" caption="Average of Prezzo" measure="1" displayFolder="" measureGroup="Corsi" count="0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Sum of Durata (h)]" caption="Sum of Durata (h)" measure="1" displayFolder="" measureGroup="Corsi" count="0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Average of Durata (h)]" caption="Average of Durata (h)" measure="1" displayFolder="" measureGroup="Corsi" count="0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Count of Docente]" caption="Count of Docente" measure="1" displayFolder="" measureGroup="Corsi" count="0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Count of Corso]" caption="Count of Corso" measure="1" displayFolder="" measureGroup="Corsi" count="0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Coefficienti]" caption="Sum of Coefficienti" measure="1" displayFolder="" measureGroup="Coefficienti" count="0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Distinct Count of Coefficienti]" caption="Distinct Count of Coefficienti" measure="1" displayFolder="" measureGroup="Coefficienti" count="0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Count of Coefficienti]" caption="Count of Coefficienti" measure="1" displayFolder="" measureGroup="Coefficienti" count="0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Fatturato massimo]" caption="Fatturato massimo" measure="1" displayFolder="" measureGroup="Corsi" count="0" oneField="1">
      <fieldsUsage count="1">
        <fieldUsage x="2"/>
      </fieldsUsage>
    </cacheHierarchy>
    <cacheHierarchy uniqueName="[Measures].[Percentuale]" caption="Percentuale" measure="1" displayFolder="" measureGroup="Coefficienti" count="0"/>
    <cacheHierarchy uniqueName="[Measures].[Fatturato]" caption="Fatturato" measure="1" displayFolder="" measureGroup="Corsi" count="0"/>
    <cacheHierarchy uniqueName="[Measures].[__XL_Count Corsi]" caption="__XL_Count Corsi" measure="1" displayFolder="" measureGroup="Corsi" count="0" hidden="1"/>
    <cacheHierarchy uniqueName="[Measures].[__XL_Count Docenti]" caption="__XL_Count Docenti" measure="1" displayFolder="" measureGroup="Docenti" count="0" hidden="1"/>
    <cacheHierarchy uniqueName="[Measures].[__XL_Count Sedi]" caption="__XL_Count Sedi" measure="1" displayFolder="" measureGroup="Sedi" count="0" hidden="1"/>
    <cacheHierarchy uniqueName="[Measures].[__XL_Count Coefficienti]" caption="__XL_Count Coefficienti" measure="1" displayFolder="" measureGroup="Coefficienti" count="0" hidden="1"/>
    <cacheHierarchy uniqueName="[Measures].[__No measures defined]" caption="__No measures defined" measure="1" displayFolder="" count="0" hidden="1"/>
  </cacheHierarchies>
  <kpis count="0"/>
  <dimensions count="5">
    <dimension name="Coefficienti" uniqueName="[Coefficienti]" caption="Coefficienti"/>
    <dimension name="Corsi" uniqueName="[Corsi]" caption="Corsi"/>
    <dimension name="Docenti" uniqueName="[Docenti]" caption="Docenti"/>
    <dimension measure="1" name="Measures" uniqueName="[Measures]" caption="Measures"/>
    <dimension name="Sedi" uniqueName="[Sedi]" caption="Sedi"/>
  </dimensions>
  <measureGroups count="4">
    <measureGroup name="Coefficienti" caption="Coefficienti"/>
    <measureGroup name="Corsi" caption="Corsi"/>
    <measureGroup name="Docenti" caption="Docenti"/>
    <measureGroup name="Sedi" caption="Sedi"/>
  </measureGroups>
  <maps count="6">
    <map measureGroup="0" dimension="0"/>
    <map measureGroup="1" dimension="1"/>
    <map measureGroup="1" dimension="2"/>
    <map measureGroup="1" dimension="4"/>
    <map measureGroup="2" dimension="2"/>
    <map measureGroup="3" dimension="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ara Cuomo" refreshedDate="45016.790943287036" createdVersion="3" refreshedVersion="8" minRefreshableVersion="3" recordCount="0" supportSubquery="1" supportAdvancedDrill="1" xr:uid="{5D9B26F2-A450-49DC-98DD-F3965946E766}">
  <cacheSource type="external" connectionId="5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38">
    <cacheHierarchy uniqueName="[Coefficienti].[Coefficienti]" caption="Coefficienti" attribute="1" defaultMemberUniqueName="[Coefficienti].[Coefficienti].[All]" allUniqueName="[Coefficienti].[Coefficienti].[All]" dimensionUniqueName="[Coefficienti]" displayFolder="" count="2" memberValueDatatype="5" unbalanced="0"/>
    <cacheHierarchy uniqueName="[Corsi].[Codice corso]" caption="Codice corso" attribute="1" defaultMemberUniqueName="[Corsi].[Codice corso].[All]" allUniqueName="[Corsi].[Codice corso].[All]" dimensionUniqueName="[Corsi]" displayFolder="" count="0" memberValueDatatype="130" unbalanced="0"/>
    <cacheHierarchy uniqueName="[Corsi].[Corso]" caption="Corso" attribute="1" defaultMemberUniqueName="[Corsi].[Corso].[All]" allUniqueName="[Corsi].[Corso].[All]" dimensionUniqueName="[Corsi]" displayFolder="" count="0" memberValueDatatype="130" unbalanced="0"/>
    <cacheHierarchy uniqueName="[Corsi].[Materia]" caption="Materia" attribute="1" defaultMemberUniqueName="[Corsi].[Materia].[All]" allUniqueName="[Corsi].[Materia].[All]" dimensionUniqueName="[Corsi]" displayFolder="" count="0" memberValueDatatype="130" unbalanced="0"/>
    <cacheHierarchy uniqueName="[Corsi].[Prezzo orario]" caption="Prezzo orario" attribute="1" defaultMemberUniqueName="[Corsi].[Prezzo orario].[All]" allUniqueName="[Corsi].[Prezzo orario].[All]" dimensionUniqueName="[Corsi]" displayFolder="" count="0" memberValueDatatype="20" unbalanced="0"/>
    <cacheHierarchy uniqueName="[Corsi].[Prezzo]" caption="Prezzo" attribute="1" defaultMemberUniqueName="[Corsi].[Prezzo].[All]" allUniqueName="[Corsi].[Prezzo].[All]" dimensionUniqueName="[Corsi]" displayFolder="" count="0" memberValueDatatype="20" unbalanced="0"/>
    <cacheHierarchy uniqueName="[Corsi].[Ore settimanali]" caption="Ore settimanali" attribute="1" defaultMemberUniqueName="[Corsi].[Ore settimanali].[All]" allUniqueName="[Corsi].[Ore settimanali].[All]" dimensionUniqueName="[Corsi]" displayFolder="" count="0" memberValueDatatype="20" unbalanced="0"/>
    <cacheHierarchy uniqueName="[Corsi].[Durata (h)]" caption="Durata (h)" attribute="1" defaultMemberUniqueName="[Corsi].[Durata (h)].[All]" allUniqueName="[Corsi].[Durata (h)].[All]" dimensionUniqueName="[Corsi]" displayFolder="" count="0" memberValueDatatype="20" unbalanced="0"/>
    <cacheHierarchy uniqueName="[Corsi].[Inizio]" caption="Inizio" attribute="1" time="1" defaultMemberUniqueName="[Corsi].[Inizio].[All]" allUniqueName="[Corsi].[Inizio].[All]" dimensionUniqueName="[Corsi]" displayFolder="" count="0" memberValueDatatype="7" unbalanced="0"/>
    <cacheHierarchy uniqueName="[Corsi].[Fine]" caption="Fine" attribute="1" time="1" defaultMemberUniqueName="[Corsi].[Fine].[All]" allUniqueName="[Corsi].[Fine].[All]" dimensionUniqueName="[Corsi]" displayFolder="" count="0" memberValueDatatype="7" unbalanced="0"/>
    <cacheHierarchy uniqueName="[Corsi].[Inizio slot]" caption="Inizio slot" attribute="1" defaultMemberUniqueName="[Corsi].[Inizio slot].[All]" allUniqueName="[Corsi].[Inizio slot].[All]" dimensionUniqueName="[Corsi]" displayFolder="" count="0" memberValueDatatype="130" unbalanced="0"/>
    <cacheHierarchy uniqueName="[Corsi].[Docente]" caption="Docente" attribute="1" defaultMemberUniqueName="[Corsi].[Docente].[All]" allUniqueName="[Corsi].[Docente].[All]" dimensionUniqueName="[Corsi]" displayFolder="" count="2" memberValueDatatype="130" unbalanced="0"/>
    <cacheHierarchy uniqueName="[Corsi].[Sede]" caption="Sede" attribute="1" defaultMemberUniqueName="[Corsi].[Sede].[All]" allUniqueName="[Corsi].[Sede].[All]" dimensionUniqueName="[Corsi]" displayFolder="" count="2" memberValueDatatype="130" unbalanced="0"/>
    <cacheHierarchy uniqueName="[Docenti].[Nominativo]" caption="Nominativo" attribute="1" defaultMemberUniqueName="[Docenti].[Nominativo].[All]" allUniqueName="[Docenti].[Nominativo].[All]" dimensionUniqueName="[Docenti]" displayFolder="" count="0" memberValueDatatype="130" unbalanced="0"/>
    <cacheHierarchy uniqueName="[Docenti].[ID]" caption="ID" attribute="1" defaultMemberUniqueName="[Docenti].[ID].[All]" allUniqueName="[Docenti].[ID].[All]" dimensionUniqueName="[Docenti]" displayFolder="" count="0" memberValueDatatype="20" unbalanced="0"/>
    <cacheHierarchy uniqueName="[Docenti].[Residenza]" caption="Residenza" attribute="1" defaultMemberUniqueName="[Docenti].[Residenza].[All]" allUniqueName="[Docenti].[Residenza].[All]" dimensionUniqueName="[Docenti]" displayFolder="" count="0" memberValueDatatype="130" unbalanced="0"/>
    <cacheHierarchy uniqueName="[Docenti].[Data Nascita]" caption="Data Nascita" attribute="1" time="1" defaultMemberUniqueName="[Docenti].[Data Nascita].[All]" allUniqueName="[Docenti].[Data Nascita].[All]" dimensionUniqueName="[Docenti]" displayFolder="" count="0" memberValueDatatype="7" unbalanced="0"/>
    <cacheHierarchy uniqueName="[Docenti].[Materia]" caption="Materia" attribute="1" defaultMemberUniqueName="[Docenti].[Materia].[All]" allUniqueName="[Docenti].[Materia].[All]" dimensionUniqueName="[Docenti]" displayFolder="" count="0" memberValueDatatype="130" unbalanced="0"/>
    <cacheHierarchy uniqueName="[Sedi].[Aula]" caption="Aula" attribute="1" defaultMemberUniqueName="[Sedi].[Aula].[All]" allUniqueName="[Sedi].[Aula].[All]" dimensionUniqueName="[Sedi]" displayFolder="" count="0" memberValueDatatype="130" unbalanced="0"/>
    <cacheHierarchy uniqueName="[Sedi].[Indirizzo]" caption="Indirizzo" attribute="1" defaultMemberUniqueName="[Sedi].[Indirizzo].[All]" allUniqueName="[Sedi].[Indirizzo].[All]" dimensionUniqueName="[Sedi]" displayFolder="" count="0" memberValueDatatype="130" unbalanced="0"/>
    <cacheHierarchy uniqueName="[Sedi].[Capienza]" caption="Capienza" attribute="1" defaultMemberUniqueName="[Sedi].[Capienza].[All]" allUniqueName="[Sedi].[Capienza].[All]" dimensionUniqueName="[Sedi]" displayFolder="" count="0" memberValueDatatype="20" unbalanced="0"/>
    <cacheHierarchy uniqueName="[Measures].[Sum of Prezzo]" caption="Sum of Prezzo" measure="1" displayFolder="" measureGroup="Corsi" count="0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Average of Prezzo]" caption="Average of Prezzo" measure="1" displayFolder="" measureGroup="Corsi" count="0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Sum of Durata (h)]" caption="Sum of Durata (h)" measure="1" displayFolder="" measureGroup="Corsi" count="0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Average of Durata (h)]" caption="Average of Durata (h)" measure="1" displayFolder="" measureGroup="Corsi" count="0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Count of Docente]" caption="Count of Docente" measure="1" displayFolder="" measureGroup="Corsi" count="0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Count of Corso]" caption="Count of Corso" measure="1" displayFolder="" measureGroup="Corsi" count="0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Coefficienti]" caption="Sum of Coefficienti" measure="1" displayFolder="" measureGroup="Coefficienti" count="0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Distinct Count of Coefficienti]" caption="Distinct Count of Coefficienti" measure="1" displayFolder="" measureGroup="Coefficienti" count="0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Count of Coefficienti]" caption="Count of Coefficienti" measure="1" displayFolder="" measureGroup="Coefficienti" count="0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Fatturato massimo]" caption="Fatturato massimo" measure="1" displayFolder="" measureGroup="Corsi" count="0"/>
    <cacheHierarchy uniqueName="[Measures].[Percentuale]" caption="Percentuale" measure="1" displayFolder="" measureGroup="Coefficienti" count="0"/>
    <cacheHierarchy uniqueName="[Measures].[Fatturato]" caption="Fatturato" measure="1" displayFolder="" measureGroup="Corsi" count="0"/>
    <cacheHierarchy uniqueName="[Measures].[__XL_Count Corsi]" caption="__XL_Count Corsi" measure="1" displayFolder="" measureGroup="Corsi" count="0" hidden="1"/>
    <cacheHierarchy uniqueName="[Measures].[__XL_Count Docenti]" caption="__XL_Count Docenti" measure="1" displayFolder="" measureGroup="Docenti" count="0" hidden="1"/>
    <cacheHierarchy uniqueName="[Measures].[__XL_Count Sedi]" caption="__XL_Count Sedi" measure="1" displayFolder="" measureGroup="Sedi" count="0" hidden="1"/>
    <cacheHierarchy uniqueName="[Measures].[__XL_Count Coefficienti]" caption="__XL_Count Coefficienti" measure="1" displayFolder="" measureGroup="Coefficienti" count="0" hidden="1"/>
    <cacheHierarchy uniqueName="[Measures].[__No measures defined]" caption="__No measures defined" measure="1" displayFolder="" count="0" hidden="1"/>
  </cacheHierarchies>
  <kpis count="0"/>
  <extLst>
    <ext xmlns:x14="http://schemas.microsoft.com/office/spreadsheetml/2009/9/main" uri="{725AE2AE-9491-48be-B2B4-4EB974FC3084}">
      <x14:pivotCacheDefinition slicerData="1" pivotCacheId="1320502949"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304E166-58C4-4A08-8D7E-7B7D221EA8B5}" name="PivotTable3" cacheId="366" applyNumberFormats="0" applyBorderFormats="0" applyFontFormats="0" applyPatternFormats="0" applyAlignmentFormats="0" applyWidthHeightFormats="1" dataCaption="Values" tag="483e8bc5-5d63-44c7-b6d7-3921606b1e81" updatedVersion="8" minRefreshableVersion="3" useAutoFormatting="1" subtotalHiddenItems="1" itemPrintTitles="1" createdVersion="5" indent="0" outline="1" outlineData="1" multipleFieldFilters="0" chartFormat="10" rowHeaderCaption="">
  <location ref="L3:M8" firstHeaderRow="1" firstDataRow="1" firstDataCol="1"/>
  <pivotFields count="4">
    <pivotField axis="axisRow" allDrilled="1" subtotalTop="0" showAll="0" dataSourceSort="1" defaultSubtotal="0" defaultAttributeDrillState="1">
      <items count="4">
        <item x="0"/>
        <item x="1"/>
        <item x="2"/>
        <item x="3"/>
      </items>
    </pivotField>
    <pivotField dataField="1" subtotalTop="0" showAll="0" defaultSubtotal="0"/>
    <pivotField allDrilled="1" subtotalTop="0" showAll="0" dataSourceSort="1" defaultSubtotal="0" defaultAttributeDrillState="1"/>
    <pivotField allDrilled="1" subtotalTop="0" showAll="0" dataSourceSort="1" defaultSubtotal="0" defaultAttributeDrillState="1"/>
  </pivotFields>
  <rowFields count="1">
    <field x="0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N* di docenti" fld="1" subtotal="count" baseField="0" baseItem="0"/>
  </dataFields>
  <chartFormats count="5">
    <chartFormat chart="9" format="2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27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9" format="28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9" format="29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9" format="30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</chartFormats>
  <pivotHierarchies count="38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 caption="N* di docenti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3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orsi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F8AC986-6DAB-4E5C-AF14-56F811B90D63}" name="PivotTable7" cacheId="372" applyNumberFormats="0" applyBorderFormats="0" applyFontFormats="0" applyPatternFormats="0" applyAlignmentFormats="0" applyWidthHeightFormats="1" dataCaption="Values" tag="77f76d29-ee2d-4dae-9845-f6104a07914e" updatedVersion="8" minRefreshableVersion="3" useAutoFormatting="1" subtotalHiddenItems="1" itemPrintTitles="1" createdVersion="5" indent="0" outline="1" outlineData="1" multipleFieldFilters="0" chartFormat="12">
  <location ref="B34:C39" firstHeaderRow="1" firstDataRow="1" firstDataCol="1"/>
  <pivotFields count="4">
    <pivotField allDrilled="1" subtotalTop="0" showAll="0" dataSourceSort="1" defaultSubtotal="0" defaultAttributeDrillState="1"/>
    <pivotField dataField="1" subtotalTop="0" showAll="0" defaultSubtotal="0"/>
    <pivotField axis="axisRow" allDrilled="1" subtotalTop="0" showAll="0" dataSourceSort="1" defaultSubtotal="0" defaultAttributeDrillState="1">
      <items count="4">
        <item x="0"/>
        <item x="1"/>
        <item x="2"/>
        <item x="3"/>
      </items>
    </pivotField>
    <pivotField allDrilled="1" subtotalTop="0" showAll="0" dataSourceSort="1" defaultSubtotal="0" defaultAttributeDrillState="1"/>
  </pivotFields>
  <rowFields count="1">
    <field x="2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fld="1" subtotal="count" baseField="0" baseItem="0"/>
  </dataFields>
  <chartFormats count="8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9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11" format="10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11" format="1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11" format="12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</chartFormats>
  <pivotHierarchies count="38">
    <pivotHierarchy multipleItemSelectionAllowed="1" dragToData="1">
      <members count="1" level="1">
        <member name="[Coefficienti].[Coefficienti].&amp;[7.5E-1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 caption="Count of Coefficienti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12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orsi]"/>
        <x15:activeTabTopLevelEntity name="[Coefficienti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8E2F37-1EB5-4CE1-97CB-9ABB341521AA}" name="PivotTable5" cacheId="360" applyNumberFormats="0" applyBorderFormats="0" applyFontFormats="0" applyPatternFormats="0" applyAlignmentFormats="0" applyWidthHeightFormats="1" dataCaption="Values" tag="ae0426c9-f231-4f73-9a29-d346b2beb410" updatedVersion="8" minRefreshableVersion="3" useAutoFormatting="1" subtotalHiddenItems="1" itemPrintTitles="1" createdVersion="5" indent="0" outline="1" outlineData="1" multipleFieldFilters="0" chartFormat="13" rowHeaderCaption="" colHeaderCaption="">
  <location ref="P3:U15" firstHeaderRow="1" firstDataRow="2" firstDataCol="1"/>
  <pivotFields count="4">
    <pivotField axis="axisCol" allDrilled="1" subtotalTop="0" showAll="0" dataSourceSort="1" defaultSubtotal="0" defaultAttributeDrillState="1">
      <items count="4">
        <item x="0"/>
        <item x="1"/>
        <item x="2"/>
        <item x="3"/>
      </items>
    </pivotField>
    <pivotField axis="axisRow" allDrilled="1" subtotalTop="0" showAll="0" sortType="ascending" dataSourceSort="1" defaultSubtotal="0" defaultAttributeDrillState="1">
      <items count="10">
        <item x="0"/>
        <item x="1"/>
        <item x="2"/>
        <item x="3"/>
        <item x="4"/>
        <item x="5"/>
        <item x="6"/>
        <item x="7"/>
        <item x="8"/>
        <item x="9"/>
      </items>
      <autoSortScope>
        <pivotArea dataOnly="0" outline="0" fieldPosition="0">
          <references count="2">
            <reference field="4294967294" count="1" selected="0">
              <x v="0"/>
            </reference>
            <reference field="0" count="1" selected="0">
              <x v="0"/>
            </reference>
          </references>
        </pivotArea>
      </autoSortScope>
    </pivotField>
    <pivotField dataField="1" subtotalTop="0" showAll="0" defaultSubtotal="0"/>
    <pivotField allDrilled="1" subtotalTop="0" showAll="0" dataSourceSort="1" defaultSubtotal="0" defaultAttributeDrillState="1"/>
  </pivotFields>
  <rowFields count="1">
    <field x="1"/>
  </rowFields>
  <rowItems count="11">
    <i>
      <x v="4"/>
    </i>
    <i>
      <x v="5"/>
    </i>
    <i>
      <x v="1"/>
    </i>
    <i>
      <x v="6"/>
    </i>
    <i>
      <x v="3"/>
    </i>
    <i>
      <x v="7"/>
    </i>
    <i>
      <x v="8"/>
    </i>
    <i>
      <x v="9"/>
    </i>
    <i>
      <x/>
    </i>
    <i>
      <x v="2"/>
    </i>
    <i t="grand">
      <x/>
    </i>
  </rowItems>
  <colFields count="1">
    <field x="0"/>
  </colFields>
  <colItems count="5">
    <i>
      <x/>
    </i>
    <i>
      <x v="1"/>
    </i>
    <i>
      <x v="2"/>
    </i>
    <i>
      <x v="3"/>
    </i>
    <i t="grand">
      <x/>
    </i>
  </colItems>
  <dataFields count="1">
    <dataField name="Prezzo totale" fld="2" baseField="1" baseItem="9" numFmtId="164"/>
  </dataFields>
  <chartFormats count="4">
    <chartFormat chart="12" format="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2" format="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2" format="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2" format="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</chartFormats>
  <pivotHierarchies count="38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 caption="Prezzo totale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11"/>
  </rowHierarchiesUsage>
  <colHierarchiesUsage count="1">
    <colHierarchyUsage hierarchyUsage="3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orsi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672A931-25A4-4F05-8CFB-AE3C47F90D95}" name="PivotTable2" cacheId="363" applyNumberFormats="0" applyBorderFormats="0" applyFontFormats="0" applyPatternFormats="0" applyAlignmentFormats="0" applyWidthHeightFormats="1" dataCaption="Values" tag="4e133940-5735-4fad-834c-413340244255" updatedVersion="8" minRefreshableVersion="3" useAutoFormatting="1" subtotalHiddenItems="1" itemPrintTitles="1" createdVersion="5" indent="0" outline="1" outlineData="1" multipleFieldFilters="0" chartFormat="4" rowHeaderCaption="">
  <location ref="B20:C25" firstHeaderRow="1" firstDataRow="1" firstDataCol="1" rowPageCount="1" colPageCount="1"/>
  <pivotFields count="4">
    <pivotField axis="axisRow" allDrilled="1" subtotalTop="0" showAll="0" dataSourceSort="1" defaultSubtotal="0" defaultAttributeDrillState="1">
      <items count="4">
        <item x="0"/>
        <item x="1"/>
        <item x="2"/>
        <item x="3"/>
      </items>
    </pivotField>
    <pivotField axis="axisPage" allDrilled="1" subtotalTop="0" showAll="0" dataSourceSort="1" defaultSubtotal="0" defaultAttributeDrillState="1"/>
    <pivotField dataField="1" subtotalTop="0" showAll="0" defaultSubtotal="0"/>
    <pivotField allDrilled="1" subtotalTop="0" showAll="0" dataSourceSort="1" defaultSubtotal="0" defaultAttributeDrillState="1"/>
  </pivotFields>
  <rowFields count="1">
    <field x="0"/>
  </rowFields>
  <rowItems count="5">
    <i>
      <x/>
    </i>
    <i>
      <x v="1"/>
    </i>
    <i>
      <x v="2"/>
    </i>
    <i>
      <x v="3"/>
    </i>
    <i t="grand">
      <x/>
    </i>
  </rowItems>
  <colItems count="1">
    <i/>
  </colItems>
  <pageFields count="1">
    <pageField fld="1" hier="11" name="[Corsi].[Docente].[All]" cap="All"/>
  </pageFields>
  <dataFields count="1">
    <dataField name="Durata media (h)" fld="2" subtotal="average" baseField="0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38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 caption="Durata media (h)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3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orsi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E4F6B0A-B924-424B-BE92-109EFF0DCE07}" name="PivotTable1" cacheId="357" applyNumberFormats="0" applyBorderFormats="0" applyFontFormats="0" applyPatternFormats="0" applyAlignmentFormats="0" applyWidthHeightFormats="1" dataCaption="Values" tag="83bf85cb-4605-4925-9413-cc4a507ee257" updatedVersion="8" minRefreshableVersion="3" useAutoFormatting="1" subtotalHiddenItems="1" itemPrintTitles="1" createdVersion="5" indent="0" outline="1" outlineData="1" multipleFieldFilters="0" chartFormat="7" rowHeaderCaption="" colHeaderCaption="">
  <location ref="B3:G9" firstHeaderRow="1" firstDataRow="2" firstDataCol="1" rowPageCount="1" colPageCount="1"/>
  <pivotFields count="4">
    <pivotField axis="axisPage" allDrilled="1" subtotalTop="0" showAll="0" dataSourceSort="1" defaultSubtotal="0" defaultAttributeDrillState="1"/>
    <pivotField axis="axisCol" allDrilled="1" subtotalTop="0" showAll="0" dataSourceSort="1" defaultSubtotal="0" defaultAttributeDrillState="1">
      <items count="4">
        <item x="0"/>
        <item x="1"/>
        <item x="2"/>
        <item x="3"/>
      </items>
    </pivotField>
    <pivotField axis="axisRow" allDrilled="1" subtotalTop="0" showAll="0" dataSourceSort="1" defaultSubtotal="0" defaultAttributeDrillState="1">
      <items count="4">
        <item x="0"/>
        <item x="1"/>
        <item x="2"/>
        <item x="3"/>
      </items>
    </pivotField>
    <pivotField dataField="1" subtotalTop="0" showAll="0" defaultSubtotal="0"/>
  </pivotFields>
  <rowFields count="1">
    <field x="2"/>
  </rowFields>
  <rowItems count="5">
    <i>
      <x/>
    </i>
    <i>
      <x v="1"/>
    </i>
    <i>
      <x v="2"/>
    </i>
    <i>
      <x v="3"/>
    </i>
    <i t="grand">
      <x/>
    </i>
  </rowItems>
  <colFields count="1">
    <field x="1"/>
  </colFields>
  <colItems count="5">
    <i>
      <x/>
    </i>
    <i>
      <x v="1"/>
    </i>
    <i>
      <x v="2"/>
    </i>
    <i>
      <x v="3"/>
    </i>
    <i t="grand">
      <x/>
    </i>
  </colItems>
  <pageFields count="1">
    <pageField fld="0" hier="11" name="[Corsi].[Docente].[All]" cap="All"/>
  </pageFields>
  <dataFields count="1">
    <dataField name="Prezzo medio" fld="3" subtotal="average" baseField="2" baseItem="0" numFmtId="164"/>
  </dataFields>
  <chartFormats count="4">
    <chartFormat chart="6" format="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6" format="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6" format="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6" format="1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</chartFormats>
  <pivotHierarchies count="38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 caption="Prezzo medio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3"/>
  </rowHierarchiesUsage>
  <colHierarchiesUsage count="1">
    <colHierarchyUsage hierarchyUsage="1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orsi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51D008-FF5D-4472-9600-015E9DE30838}" name="PivotTable4" cacheId="369" applyNumberFormats="0" applyBorderFormats="0" applyFontFormats="0" applyPatternFormats="0" applyAlignmentFormats="0" applyWidthHeightFormats="1" dataCaption="Values" tag="b778467c-bd6a-4f56-af37-92e99fa3fe31" updatedVersion="8" minRefreshableVersion="3" useAutoFormatting="1" subtotalHiddenItems="1" itemPrintTitles="1" createdVersion="5" indent="0" outline="1" outlineData="1" multipleFieldFilters="0" chartFormat="16" rowHeaderCaption="">
  <location ref="L20:M25" firstHeaderRow="1" firstDataRow="1" firstDataCol="1"/>
  <pivotFields count="4">
    <pivotField axis="axisRow" allDrilled="1" subtotalTop="0" showAll="0" dataSourceSort="1" defaultSubtotal="0" defaultAttributeDrillState="1">
      <items count="4">
        <item x="0"/>
        <item x="1"/>
        <item x="2"/>
        <item x="3"/>
      </items>
    </pivotField>
    <pivotField dataField="1" subtotalTop="0" showAll="0" defaultSubtotal="0"/>
    <pivotField allDrilled="1" subtotalTop="0" showAll="0" dataSourceSort="1" defaultSubtotal="0" defaultAttributeDrillState="1"/>
    <pivotField allDrilled="1" subtotalTop="0" showAll="0" dataSourceSort="1" defaultSubtotal="0" defaultAttributeDrillState="1"/>
  </pivotFields>
  <rowFields count="1">
    <field x="0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N° di corsi" fld="1" subtotal="count" baseField="0" baseItem="0"/>
  </dataFields>
  <chartFormats count="10">
    <chartFormat chart="9" format="3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3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9" format="32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9" format="33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9" format="34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2" format="4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4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2" format="42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2" format="43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2" format="44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</chartFormats>
  <pivotHierarchies count="38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 caption="N° di corsi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3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orsi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ABF1CD3-8FA8-457A-91D9-96ADBE0AEA40}" name="PivotTable6" cacheId="375" applyNumberFormats="0" applyBorderFormats="0" applyFontFormats="0" applyPatternFormats="0" applyAlignmentFormats="0" applyWidthHeightFormats="1" dataCaption="Values" tag="d94ff576-5a35-4d0e-a42d-92c1e3dad6eb" updatedVersion="8" minRefreshableVersion="3" useAutoFormatting="1" subtotalHiddenItems="1" itemPrintTitles="1" createdVersion="5" indent="0" outline="1" outlineData="1" multipleFieldFilters="0" chartFormat="17" rowHeaderCaption="" colHeaderCaption="">
  <location ref="P20:U32" firstHeaderRow="1" firstDataRow="2" firstDataCol="1"/>
  <pivotFields count="4">
    <pivotField axis="axisCol" allDrilled="1" subtotalTop="0" showAll="0" dataSourceSort="1" defaultSubtotal="0" defaultAttributeDrillState="1">
      <items count="4">
        <item x="0"/>
        <item x="1"/>
        <item x="2"/>
        <item x="3"/>
      </items>
    </pivotField>
    <pivotField axis="axisRow" allDrilled="1" subtotalTop="0" showAll="0" dataSourceSort="1" defaultSubtotal="0" defaultAttributeDrillState="1">
      <items count="10">
        <item x="0"/>
        <item x="1"/>
        <item x="2"/>
        <item x="3"/>
        <item x="4"/>
        <item x="5"/>
        <item x="6"/>
        <item x="7"/>
        <item x="8"/>
        <item x="9"/>
      </items>
    </pivotField>
    <pivotField dataField="1" subtotalTop="0" showAll="0" defaultSubtotal="0"/>
    <pivotField allDrilled="1" subtotalTop="0" showAll="0" dataSourceSort="1" defaultSubtotal="0" defaultAttributeDrillState="1"/>
  </pivotFields>
  <rowFields count="1">
    <field x="1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Fields count="1">
    <field x="0"/>
  </colFields>
  <colItems count="5">
    <i>
      <x/>
    </i>
    <i>
      <x v="1"/>
    </i>
    <i>
      <x v="2"/>
    </i>
    <i>
      <x v="3"/>
    </i>
    <i t="grand">
      <x/>
    </i>
  </colItems>
  <dataFields count="1">
    <dataField fld="2" subtotal="count" baseField="0" baseItem="0"/>
  </dataFields>
  <chartFormats count="8">
    <chartFormat chart="12" format="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2" format="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2" format="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2" format="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5" format="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5" format="4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5" format="4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5" format="4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</chartFormats>
  <pivotHierarchies count="38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11"/>
  </rowHierarchiesUsage>
  <colHierarchiesUsage count="1">
    <colHierarchyUsage hierarchyUsage="3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orsi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Coefficienti" xr10:uid="{B749C833-70B8-4C9D-B8D8-B3A85C0E4A3A}" sourceName="[Coefficienti].[Coefficienti]">
  <pivotTables>
    <pivotTable tabId="8" name="PivotTable7"/>
  </pivotTables>
  <data>
    <olap pivotCacheId="1320502949">
      <levels count="2">
        <level uniqueName="[Coefficienti].[Coefficienti].[(All)]" sourceCaption="(All)" count="0"/>
        <level uniqueName="[Coefficienti].[Coefficienti].[Coefficienti]" sourceCaption="Coefficienti" count="4">
          <ranges>
            <range startItem="0">
              <i n="[Coefficienti].[Coefficienti].&amp;[5.E-1]" c="0,5"/>
              <i n="[Coefficienti].[Coefficienti].&amp;[7.5E-1]" c="0,75"/>
              <i n="[Coefficienti].[Coefficienti].&amp;[8.5E-1]" c="0,85"/>
              <i n="[Coefficienti].[Coefficienti].&amp;[1.]" c="1"/>
            </range>
          </ranges>
        </level>
      </levels>
      <selections count="1">
        <selection n="[Coefficienti].[Coefficienti].&amp;[7.5E-1]"/>
      </selections>
    </olap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Sede" xr10:uid="{82B7D8B2-6020-4C0F-BD09-B46962664DC0}" sourceName="[Corsi].[Sede]">
  <pivotTables>
    <pivotTable tabId="8" name="PivotTable1"/>
    <pivotTable tabId="8" name="PivotTable6"/>
    <pivotTable tabId="8" name="PivotTable5"/>
    <pivotTable tabId="8" name="PivotTable2"/>
    <pivotTable tabId="8" name="PivotTable3"/>
    <pivotTable tabId="8" name="PivotTable4"/>
    <pivotTable tabId="8" name="PivotTable7"/>
  </pivotTables>
  <data>
    <olap pivotCacheId="1320502949">
      <levels count="2">
        <level uniqueName="[Corsi].[Sede].[(All)]" sourceCaption="(All)" count="0"/>
        <level uniqueName="[Corsi].[Sede].[Sede]" sourceCaption="Sede" count="4">
          <ranges>
            <range startItem="0">
              <i n="[Corsi].[Sede].&amp;[Bari]" c="Bari"/>
              <i n="[Corsi].[Sede].&amp;[Bologna]" c="Bologna"/>
              <i n="[Corsi].[Sede].&amp;[Napoli]" c="Napoli"/>
              <i n="[Corsi].[Sede].&amp;[Online]" c="Online"/>
            </range>
          </ranges>
        </level>
      </levels>
      <selections count="1">
        <selection n="[Corsi].[Sede].[All]"/>
      </selections>
    </olap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Docente" xr10:uid="{C9E8A35F-FF4A-44C5-811D-165436D1ADA6}" sourceName="[Corsi].[Docente]">
  <pivotTables>
    <pivotTable tabId="8" name="PivotTable1"/>
    <pivotTable tabId="8" name="PivotTable6"/>
    <pivotTable tabId="8" name="PivotTable5"/>
    <pivotTable tabId="8" name="PivotTable2"/>
    <pivotTable tabId="8" name="PivotTable3"/>
    <pivotTable tabId="8" name="PivotTable4"/>
    <pivotTable tabId="8" name="PivotTable7"/>
  </pivotTables>
  <data>
    <olap pivotCacheId="1320502949">
      <levels count="2">
        <level uniqueName="[Corsi].[Docente].[(All)]" sourceCaption="(All)" count="0"/>
        <level uniqueName="[Corsi].[Docente].[Docente]" sourceCaption="Docente" count="10">
          <ranges>
            <range startItem="0">
              <i n="[Corsi].[Docente].&amp;[Anna Levi]" c="Anna Levi"/>
              <i n="[Corsi].[Docente].&amp;[Carmela Gerace]" c="Carmela Gerace"/>
              <i n="[Corsi].[Docente].&amp;[Gianpaolo Santana]" c="Gianpaolo Santana"/>
              <i n="[Corsi].[Docente].&amp;[Laura Balzani]" c="Laura Balzani"/>
              <i n="[Corsi].[Docente].&amp;[Mariana Dalla Lupa]" c="Mariana Dalla Lupa"/>
              <i n="[Corsi].[Docente].&amp;[Michele Turetta]" c="Michele Turetta"/>
              <i n="[Corsi].[Docente].&amp;[Nicola Erbetto]" c="Nicola Erbetto"/>
              <i n="[Corsi].[Docente].&amp;[Paola De Antoniis]" c="Paola De Antoniis"/>
              <i n="[Corsi].[Docente].&amp;[Simone Simoncelli]" c="Simone Simoncelli"/>
              <i n="[Corsi].[Docente].&amp;[Tullio Andreatta]" c="Tullio Andreatta"/>
            </range>
          </ranges>
        </level>
      </levels>
      <selections count="1">
        <selection n="[Corsi].[Docente].[All]"/>
      </selections>
    </olap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Coefficienti 1" xr10:uid="{83755279-D87F-44D9-A940-E08C97F1AE5C}" cache="Slicer_Coefficienti" caption="Tassi di Utenza" columnCount="4" showCaption="0" level="1" style="SlicerStyleLight3" rowHeight="180000"/>
  <slicer name="Sede" xr10:uid="{8FF138C1-F739-4AB2-88DD-2C65515130E4}" cache="Slicer_Sede" caption="Sede" level="1" style="SlicerStyleLight3" rowHeight="196850"/>
  <slicer name="Docente" xr10:uid="{EFE8D2D0-3735-4BEE-9523-A14E60A5DF00}" cache="Slicer_Docente" caption="Docente" level="1" style="SlicerStyleLight3" rowHeight="19685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61C4B26-5714-42C3-99EB-F1C3D242E71F}" name="Corsi" displayName="Corsi" ref="A1:L31" totalsRowShown="0" headerRowDxfId="16">
  <autoFilter ref="A1:L31" xr:uid="{661C4B26-5714-42C3-99EB-F1C3D242E71F}"/>
  <sortState xmlns:xlrd2="http://schemas.microsoft.com/office/spreadsheetml/2017/richdata2" ref="A2:L31">
    <sortCondition ref="B1:B31"/>
  </sortState>
  <tableColumns count="12">
    <tableColumn id="1" xr3:uid="{A8A1E475-ABE7-4EB5-855E-466DA9981785}" name="Codice corso" dataDxfId="15">
      <calculatedColumnFormula>LOWER(LEFT(Corsi[[#This Row],[Sede]],2)&amp;RIGHT(Corsi[[#This Row],[Corso]],2)&amp;"-"&amp;LEFT(Corsi[[#This Row],[Corso]],3)&amp;"-"&amp;RIGHT(_xlfn.XLOOKUP(Corsi[[#This Row],[Docente]],Docenti[Nominativo],Docenti[ID],"xxxx",0),4)&amp;"-"&amp;RIGHT(Corsi[[#This Row],[Inizio]],4)&amp;RIGHT(Corsi[[#This Row],[Inizio slot]],1))</calculatedColumnFormula>
    </tableColumn>
    <tableColumn id="2" xr3:uid="{3E8B86FB-049B-4392-85D7-C909E2946C8B}" name="Corso"/>
    <tableColumn id="3" xr3:uid="{F29E7964-E3C0-4DCB-ACD3-DC469B890488}" name="Materia"/>
    <tableColumn id="11" xr3:uid="{2C750854-8016-47EA-9086-E769AC0EF431}" name="Prezzo orario" dataDxfId="14"/>
    <tableColumn id="4" xr3:uid="{84A42A51-8E95-4179-A2B9-D39D18FE6EA9}" name="Prezzo" dataDxfId="13">
      <calculatedColumnFormula>Corsi[[#This Row],[Durata (h)]]*Corsi[[#This Row],[Prezzo orario]]*IF(Corsi[[#This Row],[Sede]]="Online",0.8,1)</calculatedColumnFormula>
    </tableColumn>
    <tableColumn id="10" xr3:uid="{D79F4689-DFD7-4FF5-A205-561005CBFF00}" name="Ore settimanali" dataDxfId="12"/>
    <tableColumn id="5" xr3:uid="{6D31416C-C1C4-4187-A682-F9AB21117184}" name="Durata (h)">
      <calculatedColumnFormula>INT(DATEDIF(Corsi[[#This Row],[Inizio]],Corsi[[#This Row],[Fine]],"D")/7)*Corsi[[#This Row],[Ore settimanali]]</calculatedColumnFormula>
    </tableColumn>
    <tableColumn id="6" xr3:uid="{2A0431DD-44BB-4B6C-8DE1-ACDF122E4469}" name="Inizio" dataDxfId="11"/>
    <tableColumn id="7" xr3:uid="{B11F8DF7-4E4D-40B1-A2F4-9FCD00245E95}" name="Fine" dataDxfId="10"/>
    <tableColumn id="12" xr3:uid="{AE058C13-893E-44C8-9D64-AD036E8C0B75}" name="Inizio slot" dataDxfId="9"/>
    <tableColumn id="8" xr3:uid="{FB8C03F5-79C9-4E68-BE65-C543398769EC}" name="Docente"/>
    <tableColumn id="9" xr3:uid="{B5AA051A-12BE-4643-B9EB-6E8435369487}" name="Sede"/>
  </tableColumns>
  <tableStyleInfo name="TableStyleMedium1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77736B8-C2D3-4032-8554-CD92AB92E98E}" name="Docenti" displayName="Docenti" ref="A1:E11" totalsRowShown="0" headerRowDxfId="8">
  <autoFilter ref="A1:E11" xr:uid="{3B50C2C2-4390-4C45-BF02-3A4C623166F7}"/>
  <tableColumns count="5">
    <tableColumn id="1" xr3:uid="{FDDEF34C-00D2-400A-96FB-E4541CD9832B}" name="Nominativo"/>
    <tableColumn id="6" xr3:uid="{1D331255-C5B8-4475-BA48-9A86FB39CCB9}" name="ID" dataDxfId="7">
      <calculatedColumnFormula>CODE(LEFT(Docenti[[#This Row],[Nominativo]],1))&amp;CODE(LEFT(Docenti[[#This Row],[Nominativo]],4))&amp;Docenti[[#This Row],[Data Nascita]]</calculatedColumnFormula>
    </tableColumn>
    <tableColumn id="2" xr3:uid="{6808CCFD-2E44-444E-96EC-A45045081EFD}" name="Residenza"/>
    <tableColumn id="3" xr3:uid="{D3E06EA3-5503-43D1-A2E0-88D9A840074A}" name="Data Nascita" dataDxfId="6"/>
    <tableColumn id="4" xr3:uid="{FA252CE0-CBAC-4521-8B6D-23689110A3F4}" name="Materia"/>
  </tableColumns>
  <tableStyleInfo name="TableStyleMedium1" showFirstColumn="0" showLastColumn="0" showRowStripes="0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539C7E5-BD55-41BF-ACA5-F306E72B2B49}" name="Sedi" displayName="Sedi" ref="A1:C5" totalsRowShown="0" headerRowDxfId="5">
  <autoFilter ref="A1:C5" xr:uid="{5539C7E5-BD55-41BF-ACA5-F306E72B2B49}"/>
  <tableColumns count="3">
    <tableColumn id="1" xr3:uid="{19F99605-6DA4-42D9-81E4-FB17E9B61371}" name="Aula"/>
    <tableColumn id="2" xr3:uid="{9ABA3E55-64E3-4FFF-BE70-21D99D7C3004}" name="Indirizzo"/>
    <tableColumn id="3" xr3:uid="{9857A1BD-0FD1-4333-867F-79D249D29F2E}" name="Capienza"/>
  </tableColumns>
  <tableStyleInfo name="TableStyleMedium1" showFirstColumn="0" showLastColumn="0" showRowStripes="0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EE782EB-2724-4F32-8EA2-C59317360363}" name="Coefficienti" displayName="Coefficienti" ref="I35:I39" totalsRowShown="0" headerRowDxfId="4" dataDxfId="2" headerRowBorderDxfId="3" tableBorderDxfId="1">
  <autoFilter ref="I35:I39" xr:uid="{9EE782EB-2724-4F32-8EA2-C59317360363}"/>
  <tableColumns count="1">
    <tableColumn id="1" xr3:uid="{5BB250F4-1948-439E-A5DB-364A692E69FE}" name="Coefficienti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microsoft.com/office/2007/relationships/slicer" Target="../slicers/slicer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7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6.emf"/><Relationship Id="rId4" Type="http://schemas.openxmlformats.org/officeDocument/2006/relationships/control" Target="../activeX/activeX1.xml"/><Relationship Id="rId9" Type="http://schemas.openxmlformats.org/officeDocument/2006/relationships/image" Target="../media/image8.emf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6.bin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Relationship Id="rId9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EF5199-0BA1-4BF7-B7E6-6C98F0F1E180}">
  <sheetPr codeName="Sheet6"/>
  <dimension ref="A1"/>
  <sheetViews>
    <sheetView showGridLines="0" showRowColHeaders="0" tabSelected="1" workbookViewId="0">
      <selection activeCell="O15" sqref="O15"/>
    </sheetView>
  </sheetViews>
  <sheetFormatPr defaultRowHeight="12" x14ac:dyDescent="0.25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7E3F39-1179-4488-AD4D-8F330B468D3A}">
  <sheetPr codeName="Foglio1">
    <pageSetUpPr fitToPage="1"/>
  </sheetPr>
  <dimension ref="B2:AD53"/>
  <sheetViews>
    <sheetView showRowColHeaders="0" zoomScale="110" zoomScaleNormal="110" workbookViewId="0">
      <selection activeCell="Y76" sqref="Y76"/>
    </sheetView>
  </sheetViews>
  <sheetFormatPr defaultRowHeight="12" x14ac:dyDescent="0.25"/>
  <cols>
    <col min="1" max="1" width="3.42578125" style="34" customWidth="1"/>
    <col min="2" max="3" width="9.140625" style="34"/>
    <col min="4" max="4" width="12.140625" style="34" customWidth="1"/>
    <col min="5" max="5" width="3.42578125" style="34" customWidth="1"/>
    <col min="6" max="9" width="9.140625" style="34"/>
    <col min="10" max="10" width="3.5703125" style="34" customWidth="1"/>
    <col min="11" max="11" width="9.140625" style="34"/>
    <col min="12" max="12" width="9.140625" style="34" customWidth="1"/>
    <col min="13" max="13" width="8.7109375" style="34" customWidth="1"/>
    <col min="14" max="14" width="3.42578125" style="34" customWidth="1"/>
    <col min="15" max="18" width="9.140625" style="34"/>
    <col min="19" max="19" width="9.85546875" style="34" customWidth="1"/>
    <col min="20" max="20" width="3.85546875" style="34" customWidth="1"/>
    <col min="21" max="26" width="9.140625" style="34"/>
    <col min="27" max="27" width="3.5703125" style="34" customWidth="1"/>
    <col min="28" max="16384" width="9.140625" style="34"/>
  </cols>
  <sheetData>
    <row r="2" spans="2:30" ht="14.4" x14ac:dyDescent="0.3">
      <c r="B2" s="36" t="s">
        <v>79</v>
      </c>
      <c r="C2" s="36"/>
      <c r="D2" s="36"/>
      <c r="E2" s="36"/>
      <c r="F2" s="36"/>
      <c r="G2" s="36"/>
      <c r="H2" s="36"/>
      <c r="I2" s="36"/>
      <c r="J2" s="36"/>
      <c r="K2" s="36"/>
      <c r="L2" s="36"/>
      <c r="M2" s="36"/>
      <c r="O2" s="36" t="s">
        <v>80</v>
      </c>
      <c r="P2" s="36"/>
      <c r="Q2" s="36"/>
      <c r="R2" s="36"/>
      <c r="S2" s="36"/>
      <c r="T2" s="36"/>
      <c r="U2" s="36"/>
      <c r="V2" s="36"/>
      <c r="W2" s="36"/>
      <c r="X2" s="36"/>
      <c r="Y2" s="36"/>
      <c r="Z2" s="36"/>
      <c r="AB2" s="36" t="s">
        <v>85</v>
      </c>
      <c r="AC2" s="35"/>
      <c r="AD2" s="35"/>
    </row>
    <row r="27" spans="2:26" ht="14.4" x14ac:dyDescent="0.3">
      <c r="B27" s="36" t="s">
        <v>86</v>
      </c>
      <c r="C27" s="35"/>
      <c r="D27" s="35"/>
      <c r="E27" s="35"/>
      <c r="F27" s="35"/>
      <c r="G27" s="35"/>
      <c r="H27" s="35"/>
      <c r="I27" s="35"/>
      <c r="J27" s="35"/>
      <c r="K27" s="35"/>
      <c r="L27" s="38">
        <f>GETPIVOTDATA("[Measures].[Fatturato]",'Foglio tecnico'!$B$34)</f>
        <v>631800</v>
      </c>
      <c r="M27" s="38"/>
      <c r="O27" s="36" t="s">
        <v>81</v>
      </c>
      <c r="P27" s="35"/>
      <c r="Q27" s="35"/>
      <c r="R27" s="35"/>
      <c r="S27" s="35"/>
      <c r="T27" s="35"/>
      <c r="U27" s="35"/>
      <c r="V27" s="35"/>
      <c r="W27" s="35"/>
      <c r="X27" s="35"/>
      <c r="Y27" s="35"/>
      <c r="Z27" s="35"/>
    </row>
    <row r="52" spans="2:26" ht="9.6" customHeight="1" x14ac:dyDescent="0.25"/>
    <row r="53" spans="2:26" ht="14.4" x14ac:dyDescent="0.3">
      <c r="B53" s="36" t="s">
        <v>83</v>
      </c>
      <c r="C53" s="35"/>
      <c r="D53" s="35"/>
      <c r="E53" s="35"/>
      <c r="F53" s="35"/>
      <c r="G53" s="35"/>
      <c r="H53" s="35"/>
      <c r="I53" s="35"/>
      <c r="K53" s="36" t="s">
        <v>84</v>
      </c>
      <c r="L53" s="35"/>
      <c r="M53" s="35"/>
      <c r="N53" s="35"/>
      <c r="O53" s="35"/>
      <c r="P53" s="35"/>
      <c r="Q53" s="35"/>
      <c r="R53" s="35"/>
      <c r="S53" s="35"/>
      <c r="U53" s="36" t="s">
        <v>82</v>
      </c>
      <c r="V53" s="35"/>
      <c r="W53" s="35"/>
      <c r="X53" s="35"/>
      <c r="Y53" s="35"/>
      <c r="Z53" s="35"/>
    </row>
  </sheetData>
  <mergeCells count="1">
    <mergeCell ref="L27:M27"/>
  </mergeCells>
  <pageMargins left="0.70866141732283472" right="0.70866141732283472" top="0.74803149606299213" bottom="0.74803149606299213" header="0.31496062992125984" footer="0.31496062992125984"/>
  <pageSetup paperSize="9" scale="51" orientation="portrait" horizontalDpi="4294967293" r:id="rId1"/>
  <headerFooter scaleWithDoc="0">
    <oddHeader>&amp;C&amp;G</oddHeader>
    <oddFooter>&amp;L&amp;D&amp;R&amp;G</oddFooter>
  </headerFooter>
  <drawing r:id="rId2"/>
  <legacyDrawingHF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3BCABC-8C23-4282-8B74-D50C71288A8C}">
  <sheetPr codeName="Sheet7"/>
  <dimension ref="B1:P16"/>
  <sheetViews>
    <sheetView showGridLines="0" showRowColHeaders="0" zoomScale="85" zoomScaleNormal="85" workbookViewId="0">
      <selection activeCell="B3" sqref="B3"/>
    </sheetView>
  </sheetViews>
  <sheetFormatPr defaultRowHeight="14.4" x14ac:dyDescent="0.3"/>
  <cols>
    <col min="1" max="1" width="9.140625" style="4"/>
    <col min="2" max="2" width="21.85546875" style="4" customWidth="1"/>
    <col min="3" max="3" width="4.28515625" style="4" customWidth="1"/>
    <col min="4" max="4" width="25.85546875" style="4" customWidth="1"/>
    <col min="5" max="5" width="3.42578125" style="4" customWidth="1"/>
    <col min="6" max="6" width="9.7109375" style="4" customWidth="1"/>
    <col min="7" max="7" width="20.140625" style="4" customWidth="1"/>
    <col min="8" max="8" width="3.42578125" style="4" customWidth="1"/>
    <col min="9" max="9" width="9.140625" style="4"/>
    <col min="10" max="10" width="18.42578125" style="4" customWidth="1"/>
    <col min="11" max="11" width="3.42578125" style="4" customWidth="1"/>
    <col min="12" max="12" width="8.7109375" style="4" customWidth="1"/>
    <col min="13" max="13" width="14.85546875" style="4" customWidth="1"/>
    <col min="14" max="14" width="3.42578125" style="4" customWidth="1"/>
    <col min="15" max="15" width="9.28515625" style="4" customWidth="1"/>
    <col min="16" max="16" width="12.5703125" style="4" customWidth="1"/>
    <col min="17" max="16384" width="9.140625" style="4"/>
  </cols>
  <sheetData>
    <row r="1" spans="2:16" ht="158.4" customHeight="1" thickBot="1" x14ac:dyDescent="0.35"/>
    <row r="2" spans="2:16" x14ac:dyDescent="0.3">
      <c r="B2" s="7" t="s">
        <v>3</v>
      </c>
    </row>
    <row r="3" spans="2:16" ht="15" thickBot="1" x14ac:dyDescent="0.35">
      <c r="B3" s="8"/>
    </row>
    <row r="7" spans="2:16" x14ac:dyDescent="0.3">
      <c r="D7" s="5" t="s">
        <v>7</v>
      </c>
      <c r="G7" s="5" t="s">
        <v>5</v>
      </c>
      <c r="J7" s="5" t="s">
        <v>4</v>
      </c>
      <c r="M7" s="5" t="s">
        <v>0</v>
      </c>
      <c r="P7" s="5" t="s">
        <v>6</v>
      </c>
    </row>
    <row r="8" spans="2:16" x14ac:dyDescent="0.3">
      <c r="D8" s="4" t="str" cm="1">
        <f t="array" ref="D8">IF(B3="","",_xlfn._xlws.FILTER(Corsi[Corso], B3=Corsi[Docente]))</f>
        <v/>
      </c>
      <c r="G8" s="4" t="str" cm="1">
        <f t="array" ref="G8">IF(B3="","",_xlfn._xlws.FILTER(Corsi[Materia],B3=Corsi[Docente]))</f>
        <v/>
      </c>
      <c r="J8" s="4" t="str" cm="1">
        <f t="array" ref="J8">IF(B3="","",_xlfn._xlws.FILTER(Corsi[Sede], B3=Corsi[Docente]))</f>
        <v/>
      </c>
      <c r="M8" s="37" t="str" cm="1">
        <f t="array" ref="M8">IF(B3="","",_xlfn._xlws.FILTER(Corsi[Prezzo],B3=Corsi[Docente]))</f>
        <v/>
      </c>
      <c r="P8" s="4" t="str" cm="1">
        <f t="array" ref="P8">IF(B3="","",_xlfn._xlws.FILTER(Corsi[Durata (h)],B3=Corsi[Docente]))</f>
        <v/>
      </c>
    </row>
    <row r="9" spans="2:16" x14ac:dyDescent="0.3">
      <c r="M9" s="37"/>
    </row>
    <row r="10" spans="2:16" x14ac:dyDescent="0.3">
      <c r="M10" s="37"/>
    </row>
    <row r="11" spans="2:16" x14ac:dyDescent="0.3">
      <c r="M11" s="37"/>
    </row>
    <row r="12" spans="2:16" x14ac:dyDescent="0.3">
      <c r="M12" s="37"/>
    </row>
    <row r="13" spans="2:16" x14ac:dyDescent="0.3">
      <c r="M13" s="37"/>
    </row>
    <row r="14" spans="2:16" x14ac:dyDescent="0.3">
      <c r="M14" s="37"/>
    </row>
    <row r="15" spans="2:16" x14ac:dyDescent="0.3">
      <c r="M15" s="37"/>
    </row>
    <row r="16" spans="2:16" x14ac:dyDescent="0.3">
      <c r="M16" s="37"/>
    </row>
  </sheetData>
  <dataValidations count="1">
    <dataValidation type="list" allowBlank="1" showInputMessage="1" showErrorMessage="1" sqref="B3:C5" xr:uid="{8AD5FCF3-4E9B-4BEE-A4D4-F41217550825}">
      <formula1>Lista_Docenti</formula1>
    </dataValidation>
  </dataValidations>
  <pageMargins left="0.7" right="0.7" top="0.75" bottom="0.75" header="0.3" footer="0.3"/>
  <pageSetup paperSize="9" orientation="portrait" horizontalDpi="4294967293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AA8993-7D5B-4005-8EBB-E3AE7AFDA1A6}">
  <sheetPr codeName="Sheet1"/>
  <dimension ref="C1:S20"/>
  <sheetViews>
    <sheetView showGridLines="0" showRowColHeaders="0" zoomScale="110" zoomScaleNormal="110" workbookViewId="0">
      <selection activeCell="L12" sqref="L12"/>
    </sheetView>
  </sheetViews>
  <sheetFormatPr defaultRowHeight="12" x14ac:dyDescent="0.25"/>
  <cols>
    <col min="1" max="1" width="2.5703125" customWidth="1"/>
    <col min="2" max="2" width="7.85546875" customWidth="1"/>
    <col min="3" max="3" width="23.85546875" customWidth="1"/>
    <col min="4" max="4" width="4.5703125" customWidth="1"/>
    <col min="5" max="5" width="21.85546875" customWidth="1"/>
    <col min="6" max="6" width="4.42578125" customWidth="1"/>
    <col min="7" max="7" width="19.42578125" customWidth="1"/>
    <col min="8" max="8" width="4.42578125" customWidth="1"/>
    <col min="9" max="9" width="14.7109375" customWidth="1"/>
    <col min="10" max="10" width="4.42578125" customWidth="1"/>
    <col min="11" max="11" width="10.7109375" customWidth="1"/>
    <col min="12" max="12" width="4.42578125" customWidth="1"/>
    <col min="13" max="13" width="15.140625" bestFit="1" customWidth="1"/>
    <col min="14" max="14" width="4.42578125" customWidth="1"/>
    <col min="15" max="15" width="19" customWidth="1"/>
    <col min="16" max="16" width="4.42578125" customWidth="1"/>
    <col min="17" max="17" width="16" customWidth="1"/>
    <col min="18" max="18" width="4.42578125" customWidth="1"/>
    <col min="19" max="19" width="13.28515625" customWidth="1"/>
  </cols>
  <sheetData>
    <row r="1" spans="3:19" ht="106.2" customHeight="1" x14ac:dyDescent="0.25"/>
    <row r="3" spans="3:19" x14ac:dyDescent="0.25">
      <c r="C3" s="11" t="s">
        <v>66</v>
      </c>
      <c r="D3" s="12"/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  <c r="P3" s="12"/>
      <c r="Q3" s="12"/>
      <c r="R3" s="12"/>
      <c r="S3" s="12"/>
    </row>
    <row r="4" spans="3:19" ht="12.6" thickBot="1" x14ac:dyDescent="0.3"/>
    <row r="5" spans="3:19" ht="15" thickBot="1" x14ac:dyDescent="0.35">
      <c r="C5" s="7" t="s">
        <v>58</v>
      </c>
      <c r="D5" s="1"/>
      <c r="E5" s="7" t="s">
        <v>5</v>
      </c>
      <c r="G5" s="17" t="s">
        <v>59</v>
      </c>
      <c r="I5" s="17" t="s">
        <v>60</v>
      </c>
      <c r="K5" s="17" t="s">
        <v>4</v>
      </c>
      <c r="M5" s="17" t="s">
        <v>3</v>
      </c>
      <c r="O5" s="17" t="s">
        <v>57</v>
      </c>
      <c r="Q5" s="17" t="s">
        <v>39</v>
      </c>
      <c r="S5" s="17" t="s">
        <v>65</v>
      </c>
    </row>
    <row r="6" spans="3:19" ht="12.6" thickBot="1" x14ac:dyDescent="0.3">
      <c r="C6" s="15"/>
      <c r="E6" s="16"/>
      <c r="G6" s="18"/>
      <c r="I6" s="18"/>
      <c r="K6" s="19"/>
      <c r="M6" s="20"/>
      <c r="O6" s="19"/>
      <c r="Q6" s="21"/>
      <c r="S6" s="22"/>
    </row>
    <row r="10" spans="3:19" x14ac:dyDescent="0.25">
      <c r="C10" s="13" t="s">
        <v>67</v>
      </c>
      <c r="D10" s="14"/>
      <c r="E10" s="14"/>
      <c r="F10" s="14"/>
      <c r="G10" s="14"/>
      <c r="H10" s="14"/>
      <c r="I10" s="14"/>
    </row>
    <row r="11" spans="3:19" ht="12.6" thickBot="1" x14ac:dyDescent="0.3"/>
    <row r="12" spans="3:19" ht="14.4" x14ac:dyDescent="0.3">
      <c r="C12" s="17" t="s">
        <v>61</v>
      </c>
      <c r="D12" s="1"/>
      <c r="E12" s="17" t="s">
        <v>5</v>
      </c>
      <c r="G12" s="17" t="s">
        <v>62</v>
      </c>
      <c r="I12" s="17" t="s">
        <v>42</v>
      </c>
    </row>
    <row r="13" spans="3:19" ht="12.6" thickBot="1" x14ac:dyDescent="0.3">
      <c r="C13" s="23"/>
      <c r="E13" s="20"/>
      <c r="G13" s="18"/>
      <c r="I13" s="18"/>
    </row>
    <row r="17" spans="3:7" x14ac:dyDescent="0.25">
      <c r="C17" s="9" t="s">
        <v>68</v>
      </c>
      <c r="D17" s="10"/>
      <c r="E17" s="10"/>
      <c r="F17" s="10"/>
      <c r="G17" s="10"/>
    </row>
    <row r="18" spans="3:7" ht="12.6" thickBot="1" x14ac:dyDescent="0.3"/>
    <row r="19" spans="3:7" ht="14.4" x14ac:dyDescent="0.3">
      <c r="C19" s="17" t="s">
        <v>63</v>
      </c>
      <c r="E19" s="17" t="s">
        <v>51</v>
      </c>
      <c r="G19" s="17" t="s">
        <v>52</v>
      </c>
    </row>
    <row r="20" spans="3:7" ht="12.6" thickBot="1" x14ac:dyDescent="0.3">
      <c r="C20" s="23"/>
      <c r="E20" s="23"/>
      <c r="G20" s="23"/>
    </row>
  </sheetData>
  <dataValidations count="8">
    <dataValidation type="date" operator="greaterThan" allowBlank="1" showInputMessage="1" showErrorMessage="1" sqref="I6" xr:uid="{B9C44D2C-86AC-4C43-B133-64EC2CE4B5DB}">
      <formula1>G6</formula1>
    </dataValidation>
    <dataValidation type="date" operator="greaterThan" allowBlank="1" showInputMessage="1" showErrorMessage="1" sqref="G6" xr:uid="{B30B4DF6-3FE6-4986-8F01-3E0F123A1B37}">
      <formula1>TODAY()-1</formula1>
    </dataValidation>
    <dataValidation type="list" allowBlank="1" showInputMessage="1" showErrorMessage="1" sqref="K6 K13" xr:uid="{F4E4A5D9-5F5D-4307-8B1B-395F8AECCB7C}">
      <formula1>Lista_Sedi</formula1>
    </dataValidation>
    <dataValidation type="list" allowBlank="1" showInputMessage="1" showErrorMessage="1" sqref="M6 M13" xr:uid="{C100A56E-208E-4E57-AEC0-42EF1B6F741A}">
      <formula1>Lista_Docenti</formula1>
    </dataValidation>
    <dataValidation type="whole" allowBlank="1" showInputMessage="1" showErrorMessage="1" sqref="O6 O13" xr:uid="{6C4B31D3-46BE-4A2F-8311-3A4D8962A489}">
      <formula1>1</formula1>
      <formula2>12</formula2>
    </dataValidation>
    <dataValidation type="date" operator="greaterThan" allowBlank="1" showInputMessage="1" showErrorMessage="1" sqref="G13" xr:uid="{1CD64D6A-EAF3-4345-BA24-A3FF9B2A860E}">
      <formula1>1</formula1>
    </dataValidation>
    <dataValidation operator="greaterThan" allowBlank="1" showInputMessage="1" showErrorMessage="1" sqref="I13" xr:uid="{F6BDBDDC-FCCF-407A-858E-D78856F69D7A}"/>
    <dataValidation type="whole" allowBlank="1" showInputMessage="1" showErrorMessage="1" sqref="G20" xr:uid="{DC70477F-8597-487B-BE12-AD76BBDBE9DD}">
      <formula1>1</formula1>
      <formula2>150</formula2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autoPict="0" r:id="rId5">
            <anchor moveWithCells="1">
              <from>
                <xdr:col>19</xdr:col>
                <xdr:colOff>411480</xdr:colOff>
                <xdr:row>3</xdr:row>
                <xdr:rowOff>144780</xdr:rowOff>
              </from>
              <to>
                <xdr:col>22</xdr:col>
                <xdr:colOff>342900</xdr:colOff>
                <xdr:row>6</xdr:row>
                <xdr:rowOff>0</xdr:rowOff>
              </to>
            </anchor>
          </controlPr>
        </control>
      </mc:Choice>
      <mc:Fallback>
        <control shapeId="4097" r:id="rId4" name="CommandButton1"/>
      </mc:Fallback>
    </mc:AlternateContent>
    <mc:AlternateContent xmlns:mc="http://schemas.openxmlformats.org/markup-compatibility/2006">
      <mc:Choice Requires="x14">
        <control shapeId="4101" r:id="rId6" name="CommandButton3">
          <controlPr defaultSize="0" autoLine="0" r:id="rId7">
            <anchor moveWithCells="1">
              <from>
                <xdr:col>8</xdr:col>
                <xdr:colOff>175260</xdr:colOff>
                <xdr:row>17</xdr:row>
                <xdr:rowOff>129540</xdr:rowOff>
              </from>
              <to>
                <xdr:col>10</xdr:col>
                <xdr:colOff>563880</xdr:colOff>
                <xdr:row>19</xdr:row>
                <xdr:rowOff>152400</xdr:rowOff>
              </to>
            </anchor>
          </controlPr>
        </control>
      </mc:Choice>
      <mc:Fallback>
        <control shapeId="4101" r:id="rId6" name="CommandButton3"/>
      </mc:Fallback>
    </mc:AlternateContent>
    <mc:AlternateContent xmlns:mc="http://schemas.openxmlformats.org/markup-compatibility/2006">
      <mc:Choice Requires="x14">
        <control shapeId="4102" r:id="rId8" name="CommandButton2">
          <controlPr defaultSize="0" autoLine="0" r:id="rId9">
            <anchor moveWithCells="1">
              <from>
                <xdr:col>10</xdr:col>
                <xdr:colOff>175260</xdr:colOff>
                <xdr:row>10</xdr:row>
                <xdr:rowOff>137160</xdr:rowOff>
              </from>
              <to>
                <xdr:col>12</xdr:col>
                <xdr:colOff>769620</xdr:colOff>
                <xdr:row>13</xdr:row>
                <xdr:rowOff>0</xdr:rowOff>
              </to>
            </anchor>
          </controlPr>
        </control>
      </mc:Choice>
      <mc:Fallback>
        <control shapeId="4102" r:id="rId8" name="CommandButton2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2F27C9-3F83-4FAD-9AD1-9C19F7B8BB48}">
  <sheetPr codeName="Sheet2"/>
  <dimension ref="A1:L31"/>
  <sheetViews>
    <sheetView showGridLines="0" zoomScale="130" zoomScaleNormal="130" workbookViewId="0"/>
  </sheetViews>
  <sheetFormatPr defaultRowHeight="15" customHeight="1" x14ac:dyDescent="0.25"/>
  <cols>
    <col min="1" max="1" width="21.140625" bestFit="1" customWidth="1"/>
    <col min="2" max="2" width="18" customWidth="1"/>
    <col min="3" max="3" width="11.42578125" bestFit="1" customWidth="1"/>
    <col min="4" max="4" width="15.42578125" style="3" bestFit="1" customWidth="1"/>
    <col min="5" max="5" width="18.140625" customWidth="1"/>
    <col min="6" max="7" width="17.7109375" bestFit="1" customWidth="1"/>
    <col min="8" max="8" width="14.85546875" style="2" customWidth="1"/>
    <col min="9" max="9" width="11.85546875" style="2" bestFit="1" customWidth="1"/>
    <col min="10" max="10" width="12.42578125" style="6" bestFit="1" customWidth="1"/>
    <col min="11" max="11" width="18" bestFit="1" customWidth="1"/>
    <col min="12" max="12" width="17.85546875" bestFit="1" customWidth="1"/>
    <col min="13" max="13" width="16.7109375" customWidth="1"/>
    <col min="16" max="16" width="15.42578125" bestFit="1" customWidth="1"/>
  </cols>
  <sheetData>
    <row r="1" spans="1:12" ht="15" customHeight="1" x14ac:dyDescent="0.25">
      <c r="A1" s="24" t="s">
        <v>26</v>
      </c>
      <c r="B1" s="24" t="s">
        <v>7</v>
      </c>
      <c r="C1" s="24" t="s">
        <v>5</v>
      </c>
      <c r="D1" s="25" t="s">
        <v>39</v>
      </c>
      <c r="E1" s="24" t="s">
        <v>0</v>
      </c>
      <c r="F1" s="24" t="s">
        <v>57</v>
      </c>
      <c r="G1" s="24" t="s">
        <v>6</v>
      </c>
      <c r="H1" s="26" t="s">
        <v>1</v>
      </c>
      <c r="I1" s="26" t="s">
        <v>2</v>
      </c>
      <c r="J1" s="27" t="s">
        <v>64</v>
      </c>
      <c r="K1" s="24" t="s">
        <v>3</v>
      </c>
      <c r="L1" s="24" t="s">
        <v>4</v>
      </c>
    </row>
    <row r="2" spans="1:12" ht="15" customHeight="1" x14ac:dyDescent="0.25">
      <c r="A2" t="str">
        <f>LOWER(LEFT(Corsi[[#This Row],[Sede]],2)&amp;RIGHT(Corsi[[#This Row],[Corso]],2)&amp;"-"&amp;LEFT(Corsi[[#This Row],[Corso]],3)&amp;"-"&amp;RIGHT(_xlfn.XLOOKUP(Corsi[[#This Row],[Docente]],Docenti[Nominativo],Docenti[ID],"xxxx",0),4)&amp;"-"&amp;RIGHT(Corsi[[#This Row],[Inizio]],4)&amp;RIGHT(Corsi[[#This Row],[Inizio slot]],1))</f>
        <v>basi-ana-4226-51803</v>
      </c>
      <c r="B2" t="s">
        <v>33</v>
      </c>
      <c r="C2" t="s">
        <v>23</v>
      </c>
      <c r="D2" s="3">
        <v>20</v>
      </c>
      <c r="E2" s="3">
        <f>Corsi[[#This Row],[Durata (h)]]*Corsi[[#This Row],[Prezzo orario]]*IF(Corsi[[#This Row],[Sede]]="Online",0.8,1)</f>
        <v>1440</v>
      </c>
      <c r="F2">
        <v>2</v>
      </c>
      <c r="G2">
        <f>INT(DATEDIF(Corsi[[#This Row],[Inizio]],Corsi[[#This Row],[Fine]],"D")/7)*Corsi[[#This Row],[Ore settimanali]]</f>
        <v>72</v>
      </c>
      <c r="H2" s="2">
        <v>45180</v>
      </c>
      <c r="I2" s="2">
        <v>45432</v>
      </c>
      <c r="J2" s="6">
        <v>0.58333333333333337</v>
      </c>
      <c r="K2" t="s">
        <v>20</v>
      </c>
      <c r="L2" t="s">
        <v>8</v>
      </c>
    </row>
    <row r="3" spans="1:12" ht="15" customHeight="1" x14ac:dyDescent="0.25">
      <c r="A3" t="str">
        <f>LOWER(LEFT(Corsi[[#This Row],[Sede]],2)&amp;RIGHT(Corsi[[#This Row],[Corso]],2)&amp;"-"&amp;LEFT(Corsi[[#This Row],[Corso]],3)&amp;"-"&amp;RIGHT(_xlfn.XLOOKUP(Corsi[[#This Row],[Docente]],Docenti[Nominativo],Docenti[ID],"xxxx",0),4)&amp;"-"&amp;RIGHT(Corsi[[#This Row],[Inizio]],4)&amp;RIGHT(Corsi[[#This Row],[Inizio slot]],1))</f>
        <v>bosi-ana-9827-51805</v>
      </c>
      <c r="B3" t="s">
        <v>33</v>
      </c>
      <c r="C3" t="s">
        <v>23</v>
      </c>
      <c r="D3" s="3">
        <v>20</v>
      </c>
      <c r="E3" s="3">
        <f>Corsi[[#This Row],[Durata (h)]]*Corsi[[#This Row],[Prezzo orario]]*IF(Corsi[[#This Row],[Sede]]="Online",0.8,1)</f>
        <v>1440</v>
      </c>
      <c r="F3">
        <v>2</v>
      </c>
      <c r="G3">
        <f>INT(DATEDIF(Corsi[[#This Row],[Inizio]],Corsi[[#This Row],[Fine]],"D")/7)*Corsi[[#This Row],[Ore settimanali]]</f>
        <v>72</v>
      </c>
      <c r="H3" s="2">
        <v>45180</v>
      </c>
      <c r="I3" s="2">
        <v>45432</v>
      </c>
      <c r="J3" s="6">
        <v>0.625</v>
      </c>
      <c r="K3" t="s">
        <v>13</v>
      </c>
      <c r="L3" t="s">
        <v>9</v>
      </c>
    </row>
    <row r="4" spans="1:12" ht="15" customHeight="1" x14ac:dyDescent="0.25">
      <c r="A4" t="str">
        <f>LOWER(LEFT(Corsi[[#This Row],[Sede]],2)&amp;RIGHT(Corsi[[#This Row],[Corso]],2)&amp;"-"&amp;LEFT(Corsi[[#This Row],[Corso]],3)&amp;"-"&amp;RIGHT(_xlfn.XLOOKUP(Corsi[[#This Row],[Docente]],Docenti[Nominativo],Docenti[ID],"xxxx",0),4)&amp;"-"&amp;RIGHT(Corsi[[#This Row],[Inizio]],4)&amp;RIGHT(Corsi[[#This Row],[Inizio slot]],1))</f>
        <v>onsi-ana-9219-51807</v>
      </c>
      <c r="B4" t="s">
        <v>33</v>
      </c>
      <c r="C4" t="s">
        <v>23</v>
      </c>
      <c r="D4" s="3">
        <v>20</v>
      </c>
      <c r="E4" s="3">
        <f>Corsi[[#This Row],[Durata (h)]]*Corsi[[#This Row],[Prezzo orario]]*IF(Corsi[[#This Row],[Sede]]="Online",0.8,1)</f>
        <v>1152</v>
      </c>
      <c r="F4">
        <v>2</v>
      </c>
      <c r="G4">
        <f>INT(DATEDIF(Corsi[[#This Row],[Inizio]],Corsi[[#This Row],[Fine]],"D")/7)*Corsi[[#This Row],[Ore settimanali]]</f>
        <v>72</v>
      </c>
      <c r="H4" s="2">
        <v>45180</v>
      </c>
      <c r="I4" s="2">
        <v>45432</v>
      </c>
      <c r="J4" s="6">
        <v>0.66666666666666696</v>
      </c>
      <c r="K4" t="s">
        <v>17</v>
      </c>
      <c r="L4" t="s">
        <v>10</v>
      </c>
    </row>
    <row r="5" spans="1:12" ht="15" customHeight="1" x14ac:dyDescent="0.25">
      <c r="A5" t="str">
        <f>LOWER(LEFT(Corsi[[#This Row],[Sede]],2)&amp;RIGHT(Corsi[[#This Row],[Corso]],2)&amp;"-"&amp;LEFT(Corsi[[#This Row],[Corso]],3)&amp;"-"&amp;RIGHT(_xlfn.XLOOKUP(Corsi[[#This Row],[Docente]],Docenti[Nominativo],Docenti[ID],"xxxx",0),4)&amp;"-"&amp;RIGHT(Corsi[[#This Row],[Inizio]],4)&amp;RIGHT(Corsi[[#This Row],[Inizio slot]],1))</f>
        <v>namo-ele-4621-51803</v>
      </c>
      <c r="B5" t="s">
        <v>38</v>
      </c>
      <c r="C5" t="s">
        <v>25</v>
      </c>
      <c r="D5" s="3">
        <v>20</v>
      </c>
      <c r="E5" s="3">
        <f>Corsi[[#This Row],[Durata (h)]]*Corsi[[#This Row],[Prezzo orario]]*IF(Corsi[[#This Row],[Sede]]="Online",0.8,1)</f>
        <v>1440</v>
      </c>
      <c r="F5">
        <v>2</v>
      </c>
      <c r="G5">
        <f>INT(DATEDIF(Corsi[[#This Row],[Inizio]],Corsi[[#This Row],[Fine]],"D")/7)*Corsi[[#This Row],[Ore settimanali]]</f>
        <v>72</v>
      </c>
      <c r="H5" s="2">
        <v>45180</v>
      </c>
      <c r="I5" s="2">
        <v>45432</v>
      </c>
      <c r="J5" s="6">
        <v>0.70833333333333304</v>
      </c>
      <c r="K5" t="s">
        <v>18</v>
      </c>
      <c r="L5" t="s">
        <v>11</v>
      </c>
    </row>
    <row r="6" spans="1:12" ht="15" customHeight="1" x14ac:dyDescent="0.25">
      <c r="A6" t="str">
        <f>LOWER(LEFT(Corsi[[#This Row],[Sede]],2)&amp;RIGHT(Corsi[[#This Row],[Corso]],2)&amp;"-"&amp;LEFT(Corsi[[#This Row],[Corso]],3)&amp;"-"&amp;RIGHT(_xlfn.XLOOKUP(Corsi[[#This Row],[Docente]],Docenti[Nominativo],Docenti[ID],"xxxx",0),4)&amp;"-"&amp;RIGHT(Corsi[[#This Row],[Inizio]],4)&amp;RIGHT(Corsi[[#This Row],[Inizio slot]],1))</f>
        <v>onmo-ele-0147-51805</v>
      </c>
      <c r="B6" t="s">
        <v>38</v>
      </c>
      <c r="C6" t="s">
        <v>25</v>
      </c>
      <c r="D6" s="3">
        <v>20</v>
      </c>
      <c r="E6" s="3">
        <f>Corsi[[#This Row],[Durata (h)]]*Corsi[[#This Row],[Prezzo orario]]*IF(Corsi[[#This Row],[Sede]]="Online",0.8,1)</f>
        <v>1152</v>
      </c>
      <c r="F6">
        <v>2</v>
      </c>
      <c r="G6">
        <f>INT(DATEDIF(Corsi[[#This Row],[Inizio]],Corsi[[#This Row],[Fine]],"D")/7)*Corsi[[#This Row],[Ore settimanali]]</f>
        <v>72</v>
      </c>
      <c r="H6" s="2">
        <v>45180</v>
      </c>
      <c r="I6" s="2">
        <v>45432</v>
      </c>
      <c r="J6" s="6">
        <v>0.75</v>
      </c>
      <c r="K6" t="s">
        <v>21</v>
      </c>
      <c r="L6" t="s">
        <v>10</v>
      </c>
    </row>
    <row r="7" spans="1:12" ht="15" customHeight="1" x14ac:dyDescent="0.25">
      <c r="A7" t="str">
        <f>LOWER(LEFT(Corsi[[#This Row],[Sede]],2)&amp;RIGHT(Corsi[[#This Row],[Corso]],2)&amp;"-"&amp;LEFT(Corsi[[#This Row],[Corso]],3)&amp;"-"&amp;RIGHT(_xlfn.XLOOKUP(Corsi[[#This Row],[Docente]],Docenti[Nominativo],Docenti[ID],"xxxx",0),4)&amp;"-"&amp;RIGHT(Corsi[[#This Row],[Inizio]],4)&amp;RIGHT(Corsi[[#This Row],[Inizio slot]],1))</f>
        <v>baa2-eng-8901-51813</v>
      </c>
      <c r="B7" t="s">
        <v>27</v>
      </c>
      <c r="C7" t="s">
        <v>22</v>
      </c>
      <c r="D7" s="3">
        <v>20</v>
      </c>
      <c r="E7" s="3">
        <f>Corsi[[#This Row],[Durata (h)]]*Corsi[[#This Row],[Prezzo orario]]*IF(Corsi[[#This Row],[Sede]]="Online",0.8,1)</f>
        <v>1440</v>
      </c>
      <c r="F7">
        <v>2</v>
      </c>
      <c r="G7">
        <f>INT(DATEDIF(Corsi[[#This Row],[Inizio]],Corsi[[#This Row],[Fine]],"D")/7)*Corsi[[#This Row],[Ore settimanali]]</f>
        <v>72</v>
      </c>
      <c r="H7" s="2">
        <v>45181</v>
      </c>
      <c r="I7" s="2">
        <v>45433</v>
      </c>
      <c r="J7" s="6">
        <v>0.58333333333333337</v>
      </c>
      <c r="K7" t="s">
        <v>19</v>
      </c>
      <c r="L7" t="s">
        <v>8</v>
      </c>
    </row>
    <row r="8" spans="1:12" ht="15" customHeight="1" x14ac:dyDescent="0.25">
      <c r="A8" t="str">
        <f>LOWER(LEFT(Corsi[[#This Row],[Sede]],2)&amp;RIGHT(Corsi[[#This Row],[Corso]],2)&amp;"-"&amp;LEFT(Corsi[[#This Row],[Corso]],3)&amp;"-"&amp;RIGHT(_xlfn.XLOOKUP(Corsi[[#This Row],[Docente]],Docenti[Nominativo],Docenti[ID],"xxxx",0),4)&amp;"-"&amp;RIGHT(Corsi[[#This Row],[Inizio]],4)&amp;RIGHT(Corsi[[#This Row],[Inizio slot]],1))</f>
        <v>naa2-eng-2646-51815</v>
      </c>
      <c r="B8" t="s">
        <v>27</v>
      </c>
      <c r="C8" t="s">
        <v>22</v>
      </c>
      <c r="D8" s="3">
        <v>20</v>
      </c>
      <c r="E8" s="3">
        <f>Corsi[[#This Row],[Durata (h)]]*Corsi[[#This Row],[Prezzo orario]]*IF(Corsi[[#This Row],[Sede]]="Online",0.8,1)</f>
        <v>1440</v>
      </c>
      <c r="F8">
        <v>2</v>
      </c>
      <c r="G8">
        <f>INT(DATEDIF(Corsi[[#This Row],[Inizio]],Corsi[[#This Row],[Fine]],"D")/7)*Corsi[[#This Row],[Ore settimanali]]</f>
        <v>72</v>
      </c>
      <c r="H8" s="2">
        <v>45181</v>
      </c>
      <c r="I8" s="2">
        <v>45433</v>
      </c>
      <c r="J8" s="6">
        <v>0.625</v>
      </c>
      <c r="K8" t="s">
        <v>12</v>
      </c>
      <c r="L8" t="s">
        <v>11</v>
      </c>
    </row>
    <row r="9" spans="1:12" ht="15" customHeight="1" x14ac:dyDescent="0.25">
      <c r="A9" t="str">
        <f>LOWER(LEFT(Corsi[[#This Row],[Sede]],2)&amp;RIGHT(Corsi[[#This Row],[Corso]],2)&amp;"-"&amp;LEFT(Corsi[[#This Row],[Corso]],3)&amp;"-"&amp;RIGHT(_xlfn.XLOOKUP(Corsi[[#This Row],[Docente]],Docenti[Nominativo],Docenti[ID],"xxxx",0),4)&amp;"-"&amp;RIGHT(Corsi[[#This Row],[Inizio]],4)&amp;RIGHT(Corsi[[#This Row],[Inizio slot]],1))</f>
        <v>ona2-eng-1289-51817</v>
      </c>
      <c r="B9" t="s">
        <v>27</v>
      </c>
      <c r="C9" t="s">
        <v>22</v>
      </c>
      <c r="D9" s="3">
        <v>20</v>
      </c>
      <c r="E9" s="3">
        <f>Corsi[[#This Row],[Durata (h)]]*Corsi[[#This Row],[Prezzo orario]]*IF(Corsi[[#This Row],[Sede]]="Online",0.8,1)</f>
        <v>1152</v>
      </c>
      <c r="F9">
        <v>2</v>
      </c>
      <c r="G9">
        <f>INT(DATEDIF(Corsi[[#This Row],[Inizio]],Corsi[[#This Row],[Fine]],"D")/7)*Corsi[[#This Row],[Ore settimanali]]</f>
        <v>72</v>
      </c>
      <c r="H9" s="2">
        <v>45181</v>
      </c>
      <c r="I9" s="2">
        <v>45433</v>
      </c>
      <c r="J9" s="6">
        <v>0.66666666666666696</v>
      </c>
      <c r="K9" t="s">
        <v>15</v>
      </c>
      <c r="L9" t="s">
        <v>10</v>
      </c>
    </row>
    <row r="10" spans="1:12" ht="15" customHeight="1" x14ac:dyDescent="0.25">
      <c r="A10" t="str">
        <f>LOWER(LEFT(Corsi[[#This Row],[Sede]],2)&amp;RIGHT(Corsi[[#This Row],[Corso]],2)&amp;"-"&amp;LEFT(Corsi[[#This Row],[Corso]],3)&amp;"-"&amp;RIGHT(_xlfn.XLOOKUP(Corsi[[#This Row],[Docente]],Docenti[Nominativo],Docenti[ID],"xxxx",0),4)&amp;"-"&amp;RIGHT(Corsi[[#This Row],[Inizio]],4)&amp;RIGHT(Corsi[[#This Row],[Inizio slot]],1))</f>
        <v>bab1-eng-8901-51813</v>
      </c>
      <c r="B10" t="s">
        <v>28</v>
      </c>
      <c r="C10" t="s">
        <v>22</v>
      </c>
      <c r="D10" s="3">
        <v>20</v>
      </c>
      <c r="E10" s="3">
        <f>Corsi[[#This Row],[Durata (h)]]*Corsi[[#This Row],[Prezzo orario]]*IF(Corsi[[#This Row],[Sede]]="Online",0.8,1)</f>
        <v>1440</v>
      </c>
      <c r="F10">
        <v>2</v>
      </c>
      <c r="G10">
        <f>INT(DATEDIF(Corsi[[#This Row],[Inizio]],Corsi[[#This Row],[Fine]],"D")/7)*Corsi[[#This Row],[Ore settimanali]]</f>
        <v>72</v>
      </c>
      <c r="H10" s="2">
        <v>45181</v>
      </c>
      <c r="I10" s="2">
        <v>45433</v>
      </c>
      <c r="J10" s="6">
        <v>0.70833333333333304</v>
      </c>
      <c r="K10" t="s">
        <v>19</v>
      </c>
      <c r="L10" t="s">
        <v>8</v>
      </c>
    </row>
    <row r="11" spans="1:12" ht="15" customHeight="1" x14ac:dyDescent="0.25">
      <c r="A11" t="str">
        <f>LOWER(LEFT(Corsi[[#This Row],[Sede]],2)&amp;RIGHT(Corsi[[#This Row],[Corso]],2)&amp;"-"&amp;LEFT(Corsi[[#This Row],[Corso]],3)&amp;"-"&amp;RIGHT(_xlfn.XLOOKUP(Corsi[[#This Row],[Docente]],Docenti[Nominativo],Docenti[ID],"xxxx",0),4)&amp;"-"&amp;RIGHT(Corsi[[#This Row],[Inizio]],4)&amp;RIGHT(Corsi[[#This Row],[Inizio slot]],1))</f>
        <v>nab1-eng-2646-51815</v>
      </c>
      <c r="B11" t="s">
        <v>28</v>
      </c>
      <c r="C11" t="s">
        <v>22</v>
      </c>
      <c r="D11" s="3">
        <v>20</v>
      </c>
      <c r="E11" s="3">
        <f>Corsi[[#This Row],[Durata (h)]]*Corsi[[#This Row],[Prezzo orario]]*IF(Corsi[[#This Row],[Sede]]="Online",0.8,1)</f>
        <v>1440</v>
      </c>
      <c r="F11">
        <v>2</v>
      </c>
      <c r="G11">
        <f>INT(DATEDIF(Corsi[[#This Row],[Inizio]],Corsi[[#This Row],[Fine]],"D")/7)*Corsi[[#This Row],[Ore settimanali]]</f>
        <v>72</v>
      </c>
      <c r="H11" s="2">
        <v>45181</v>
      </c>
      <c r="I11" s="2">
        <v>45433</v>
      </c>
      <c r="J11" s="6">
        <v>0.75</v>
      </c>
      <c r="K11" t="s">
        <v>12</v>
      </c>
      <c r="L11" t="s">
        <v>11</v>
      </c>
    </row>
    <row r="12" spans="1:12" ht="15" customHeight="1" x14ac:dyDescent="0.25">
      <c r="A12" t="str">
        <f>LOWER(LEFT(Corsi[[#This Row],[Sede]],2)&amp;RIGHT(Corsi[[#This Row],[Corso]],2)&amp;"-"&amp;LEFT(Corsi[[#This Row],[Corso]],3)&amp;"-"&amp;RIGHT(_xlfn.XLOOKUP(Corsi[[#This Row],[Docente]],Docenti[Nominativo],Docenti[ID],"xxxx",0),4)&amp;"-"&amp;RIGHT(Corsi[[#This Row],[Inizio]],4)&amp;RIGHT(Corsi[[#This Row],[Inizio slot]],1))</f>
        <v>onb1-eng-1289-51823</v>
      </c>
      <c r="B12" t="s">
        <v>28</v>
      </c>
      <c r="C12" t="s">
        <v>22</v>
      </c>
      <c r="D12" s="3">
        <v>20</v>
      </c>
      <c r="E12" s="3">
        <f>Corsi[[#This Row],[Durata (h)]]*Corsi[[#This Row],[Prezzo orario]]*IF(Corsi[[#This Row],[Sede]]="Online",0.8,1)</f>
        <v>1152</v>
      </c>
      <c r="F12">
        <v>2</v>
      </c>
      <c r="G12">
        <f>INT(DATEDIF(Corsi[[#This Row],[Inizio]],Corsi[[#This Row],[Fine]],"D")/7)*Corsi[[#This Row],[Ore settimanali]]</f>
        <v>72</v>
      </c>
      <c r="H12" s="2">
        <v>45182</v>
      </c>
      <c r="I12" s="2">
        <v>45434</v>
      </c>
      <c r="J12" s="6">
        <v>0.58333333333333337</v>
      </c>
      <c r="K12" t="s">
        <v>15</v>
      </c>
      <c r="L12" t="s">
        <v>10</v>
      </c>
    </row>
    <row r="13" spans="1:12" ht="15" customHeight="1" x14ac:dyDescent="0.25">
      <c r="A13" t="str">
        <f>LOWER(LEFT(Corsi[[#This Row],[Sede]],2)&amp;RIGHT(Corsi[[#This Row],[Corso]],2)&amp;"-"&amp;LEFT(Corsi[[#This Row],[Corso]],3)&amp;"-"&amp;RIGHT(_xlfn.XLOOKUP(Corsi[[#This Row],[Docente]],Docenti[Nominativo],Docenti[ID],"xxxx",0),4)&amp;"-"&amp;RIGHT(Corsi[[#This Row],[Inizio]],4)&amp;RIGHT(Corsi[[#This Row],[Inizio slot]],1))</f>
        <v>bab2-eng-8901-51825</v>
      </c>
      <c r="B13" t="s">
        <v>29</v>
      </c>
      <c r="C13" t="s">
        <v>22</v>
      </c>
      <c r="D13" s="3">
        <v>20</v>
      </c>
      <c r="E13" s="3">
        <f>Corsi[[#This Row],[Durata (h)]]*Corsi[[#This Row],[Prezzo orario]]*IF(Corsi[[#This Row],[Sede]]="Online",0.8,1)</f>
        <v>1440</v>
      </c>
      <c r="F13">
        <v>2</v>
      </c>
      <c r="G13">
        <f>INT(DATEDIF(Corsi[[#This Row],[Inizio]],Corsi[[#This Row],[Fine]],"D")/7)*Corsi[[#This Row],[Ore settimanali]]</f>
        <v>72</v>
      </c>
      <c r="H13" s="2">
        <v>45182</v>
      </c>
      <c r="I13" s="2">
        <v>45434</v>
      </c>
      <c r="J13" s="6">
        <v>0.625</v>
      </c>
      <c r="K13" t="s">
        <v>19</v>
      </c>
      <c r="L13" t="s">
        <v>8</v>
      </c>
    </row>
    <row r="14" spans="1:12" ht="15" customHeight="1" x14ac:dyDescent="0.25">
      <c r="A14" t="str">
        <f>LOWER(LEFT(Corsi[[#This Row],[Sede]],2)&amp;RIGHT(Corsi[[#This Row],[Corso]],2)&amp;"-"&amp;LEFT(Corsi[[#This Row],[Corso]],3)&amp;"-"&amp;RIGHT(_xlfn.XLOOKUP(Corsi[[#This Row],[Docente]],Docenti[Nominativo],Docenti[ID],"xxxx",0),4)&amp;"-"&amp;RIGHT(Corsi[[#This Row],[Inizio]],4)&amp;RIGHT(Corsi[[#This Row],[Inizio slot]],1))</f>
        <v>nab2-eng-2646-51827</v>
      </c>
      <c r="B14" t="s">
        <v>29</v>
      </c>
      <c r="C14" t="s">
        <v>22</v>
      </c>
      <c r="D14" s="3">
        <v>20</v>
      </c>
      <c r="E14" s="3">
        <f>Corsi[[#This Row],[Durata (h)]]*Corsi[[#This Row],[Prezzo orario]]*IF(Corsi[[#This Row],[Sede]]="Online",0.8,1)</f>
        <v>1440</v>
      </c>
      <c r="F14">
        <v>2</v>
      </c>
      <c r="G14">
        <f>INT(DATEDIF(Corsi[[#This Row],[Inizio]],Corsi[[#This Row],[Fine]],"D")/7)*Corsi[[#This Row],[Ore settimanali]]</f>
        <v>72</v>
      </c>
      <c r="H14" s="2">
        <v>45182</v>
      </c>
      <c r="I14" s="2">
        <v>45434</v>
      </c>
      <c r="J14" s="6">
        <v>0.66666666666666696</v>
      </c>
      <c r="K14" t="s">
        <v>12</v>
      </c>
      <c r="L14" t="s">
        <v>11</v>
      </c>
    </row>
    <row r="15" spans="1:12" ht="15" customHeight="1" x14ac:dyDescent="0.25">
      <c r="A15" t="str">
        <f>LOWER(LEFT(Corsi[[#This Row],[Sede]],2)&amp;RIGHT(Corsi[[#This Row],[Corso]],2)&amp;"-"&amp;LEFT(Corsi[[#This Row],[Corso]],3)&amp;"-"&amp;RIGHT(_xlfn.XLOOKUP(Corsi[[#This Row],[Docente]],Docenti[Nominativo],Docenti[ID],"xxxx",0),4)&amp;"-"&amp;RIGHT(Corsi[[#This Row],[Inizio]],4)&amp;RIGHT(Corsi[[#This Row],[Inizio slot]],1))</f>
        <v>onb2-eng-1289-51823</v>
      </c>
      <c r="B15" t="s">
        <v>29</v>
      </c>
      <c r="C15" t="s">
        <v>22</v>
      </c>
      <c r="D15" s="3">
        <v>20</v>
      </c>
      <c r="E15" s="3">
        <f>Corsi[[#This Row],[Durata (h)]]*Corsi[[#This Row],[Prezzo orario]]*IF(Corsi[[#This Row],[Sede]]="Online",0.8,1)</f>
        <v>1152</v>
      </c>
      <c r="F15">
        <v>2</v>
      </c>
      <c r="G15">
        <f>INT(DATEDIF(Corsi[[#This Row],[Inizio]],Corsi[[#This Row],[Fine]],"D")/7)*Corsi[[#This Row],[Ore settimanali]]</f>
        <v>72</v>
      </c>
      <c r="H15" s="2">
        <v>45182</v>
      </c>
      <c r="I15" s="2">
        <v>45434</v>
      </c>
      <c r="J15" s="6">
        <v>0.70833333333333304</v>
      </c>
      <c r="K15" t="s">
        <v>15</v>
      </c>
      <c r="L15" t="s">
        <v>10</v>
      </c>
    </row>
    <row r="16" spans="1:12" ht="15" customHeight="1" x14ac:dyDescent="0.25">
      <c r="A16" t="str">
        <f>LOWER(LEFT(Corsi[[#This Row],[Sede]],2)&amp;RIGHT(Corsi[[#This Row],[Corso]],2)&amp;"-"&amp;LEFT(Corsi[[#This Row],[Corso]],3)&amp;"-"&amp;RIGHT(_xlfn.XLOOKUP(Corsi[[#This Row],[Docente]],Docenti[Nominativo],Docenti[ID],"xxxx",0),4)&amp;"-"&amp;RIGHT(Corsi[[#This Row],[Inizio]],4)&amp;RIGHT(Corsi[[#This Row],[Inizio slot]],1))</f>
        <v>baia-geo-4226-51825</v>
      </c>
      <c r="B16" t="s">
        <v>34</v>
      </c>
      <c r="C16" t="s">
        <v>23</v>
      </c>
      <c r="D16" s="3">
        <v>20</v>
      </c>
      <c r="E16" s="3">
        <f>Corsi[[#This Row],[Durata (h)]]*Corsi[[#This Row],[Prezzo orario]]*IF(Corsi[[#This Row],[Sede]]="Online",0.8,1)</f>
        <v>1440</v>
      </c>
      <c r="F16">
        <v>2</v>
      </c>
      <c r="G16">
        <f>INT(DATEDIF(Corsi[[#This Row],[Inizio]],Corsi[[#This Row],[Fine]],"D")/7)*Corsi[[#This Row],[Ore settimanali]]</f>
        <v>72</v>
      </c>
      <c r="H16" s="2">
        <v>45182</v>
      </c>
      <c r="I16" s="2">
        <v>45434</v>
      </c>
      <c r="J16" s="6">
        <v>0.75</v>
      </c>
      <c r="K16" t="s">
        <v>20</v>
      </c>
      <c r="L16" t="s">
        <v>8</v>
      </c>
    </row>
    <row r="17" spans="1:12" ht="15" customHeight="1" x14ac:dyDescent="0.25">
      <c r="A17" t="str">
        <f>LOWER(LEFT(Corsi[[#This Row],[Sede]],2)&amp;RIGHT(Corsi[[#This Row],[Corso]],2)&amp;"-"&amp;LEFT(Corsi[[#This Row],[Corso]],3)&amp;"-"&amp;RIGHT(_xlfn.XLOOKUP(Corsi[[#This Row],[Docente]],Docenti[Nominativo],Docenti[ID],"xxxx",0),4)&amp;"-"&amp;RIGHT(Corsi[[#This Row],[Inizio]],4)&amp;RIGHT(Corsi[[#This Row],[Inizio slot]],1))</f>
        <v>boia-geo-9827-51833</v>
      </c>
      <c r="B17" t="s">
        <v>34</v>
      </c>
      <c r="C17" t="s">
        <v>23</v>
      </c>
      <c r="D17" s="3">
        <v>20</v>
      </c>
      <c r="E17" s="3">
        <f>Corsi[[#This Row],[Durata (h)]]*Corsi[[#This Row],[Prezzo orario]]*IF(Corsi[[#This Row],[Sede]]="Online",0.8,1)</f>
        <v>1440</v>
      </c>
      <c r="F17">
        <v>2</v>
      </c>
      <c r="G17">
        <f>INT(DATEDIF(Corsi[[#This Row],[Inizio]],Corsi[[#This Row],[Fine]],"D")/7)*Corsi[[#This Row],[Ore settimanali]]</f>
        <v>72</v>
      </c>
      <c r="H17" s="2">
        <v>45183</v>
      </c>
      <c r="I17" s="2">
        <v>45435</v>
      </c>
      <c r="J17" s="6">
        <v>0.58333333333333337</v>
      </c>
      <c r="K17" t="s">
        <v>13</v>
      </c>
      <c r="L17" t="s">
        <v>9</v>
      </c>
    </row>
    <row r="18" spans="1:12" ht="15" customHeight="1" x14ac:dyDescent="0.25">
      <c r="A18" t="str">
        <f>LOWER(LEFT(Corsi[[#This Row],[Sede]],2)&amp;RIGHT(Corsi[[#This Row],[Corso]],2)&amp;"-"&amp;LEFT(Corsi[[#This Row],[Corso]],3)&amp;"-"&amp;RIGHT(_xlfn.XLOOKUP(Corsi[[#This Row],[Docente]],Docenti[Nominativo],Docenti[ID],"xxxx",0),4)&amp;"-"&amp;RIGHT(Corsi[[#This Row],[Inizio]],4)&amp;RIGHT(Corsi[[#This Row],[Inizio slot]],1))</f>
        <v>onia-geo-9219-51835</v>
      </c>
      <c r="B18" t="s">
        <v>34</v>
      </c>
      <c r="C18" t="s">
        <v>23</v>
      </c>
      <c r="D18" s="3">
        <v>20</v>
      </c>
      <c r="E18" s="3">
        <f>Corsi[[#This Row],[Durata (h)]]*Corsi[[#This Row],[Prezzo orario]]*IF(Corsi[[#This Row],[Sede]]="Online",0.8,1)</f>
        <v>1152</v>
      </c>
      <c r="F18">
        <v>2</v>
      </c>
      <c r="G18">
        <f>INT(DATEDIF(Corsi[[#This Row],[Inizio]],Corsi[[#This Row],[Fine]],"D")/7)*Corsi[[#This Row],[Ore settimanali]]</f>
        <v>72</v>
      </c>
      <c r="H18" s="2">
        <v>45183</v>
      </c>
      <c r="I18" s="2">
        <v>45435</v>
      </c>
      <c r="J18" s="6">
        <v>0.625</v>
      </c>
      <c r="K18" t="s">
        <v>17</v>
      </c>
      <c r="L18" t="s">
        <v>10</v>
      </c>
    </row>
    <row r="19" spans="1:12" ht="15" customHeight="1" x14ac:dyDescent="0.25">
      <c r="A19" t="str">
        <f>LOWER(LEFT(Corsi[[#This Row],[Sede]],2)&amp;RIGHT(Corsi[[#This Row],[Corso]],2)&amp;"-"&amp;LEFT(Corsi[[#This Row],[Corso]],3)&amp;"-"&amp;RIGHT(_xlfn.XLOOKUP(Corsi[[#This Row],[Docente]],Docenti[Nominativo],Docenti[ID],"xxxx",0),4)&amp;"-"&amp;RIGHT(Corsi[[#This Row],[Inizio]],4)&amp;RIGHT(Corsi[[#This Row],[Inizio slot]],1))</f>
        <v>baca-gra-0797-51837</v>
      </c>
      <c r="B19" t="s">
        <v>31</v>
      </c>
      <c r="C19" t="s">
        <v>24</v>
      </c>
      <c r="D19" s="3">
        <v>20</v>
      </c>
      <c r="E19" s="3">
        <f>Corsi[[#This Row],[Durata (h)]]*Corsi[[#This Row],[Prezzo orario]]*IF(Corsi[[#This Row],[Sede]]="Online",0.8,1)</f>
        <v>720</v>
      </c>
      <c r="F19">
        <v>1</v>
      </c>
      <c r="G19">
        <f>INT(DATEDIF(Corsi[[#This Row],[Inizio]],Corsi[[#This Row],[Fine]],"D")/7)*Corsi[[#This Row],[Ore settimanali]]</f>
        <v>36</v>
      </c>
      <c r="H19" s="2">
        <v>45183</v>
      </c>
      <c r="I19" s="2">
        <v>45435</v>
      </c>
      <c r="J19" s="6">
        <v>0.66666666666666696</v>
      </c>
      <c r="K19" t="s">
        <v>16</v>
      </c>
      <c r="L19" t="s">
        <v>8</v>
      </c>
    </row>
    <row r="20" spans="1:12" ht="15" customHeight="1" x14ac:dyDescent="0.25">
      <c r="A20" t="str">
        <f>LOWER(LEFT(Corsi[[#This Row],[Sede]],2)&amp;RIGHT(Corsi[[#This Row],[Corso]],2)&amp;"-"&amp;LEFT(Corsi[[#This Row],[Corso]],3)&amp;"-"&amp;RIGHT(_xlfn.XLOOKUP(Corsi[[#This Row],[Docente]],Docenti[Nominativo],Docenti[ID],"xxxx",0),4)&amp;"-"&amp;RIGHT(Corsi[[#This Row],[Inizio]],4)&amp;RIGHT(Corsi[[#This Row],[Inizio slot]],1))</f>
        <v>boca-gra-5936-51833</v>
      </c>
      <c r="B20" t="s">
        <v>31</v>
      </c>
      <c r="C20" t="s">
        <v>24</v>
      </c>
      <c r="D20" s="3">
        <v>20</v>
      </c>
      <c r="E20" s="3">
        <f>Corsi[[#This Row],[Durata (h)]]*Corsi[[#This Row],[Prezzo orario]]*IF(Corsi[[#This Row],[Sede]]="Online",0.8,1)</f>
        <v>720</v>
      </c>
      <c r="F20">
        <v>1</v>
      </c>
      <c r="G20">
        <f>INT(DATEDIF(Corsi[[#This Row],[Inizio]],Corsi[[#This Row],[Fine]],"D")/7)*Corsi[[#This Row],[Ore settimanali]]</f>
        <v>36</v>
      </c>
      <c r="H20" s="2">
        <v>45183</v>
      </c>
      <c r="I20" s="2">
        <v>45435</v>
      </c>
      <c r="J20" s="6">
        <v>0.70833333333333304</v>
      </c>
      <c r="K20" t="s">
        <v>14</v>
      </c>
      <c r="L20" t="s">
        <v>9</v>
      </c>
    </row>
    <row r="21" spans="1:12" ht="15" customHeight="1" x14ac:dyDescent="0.25">
      <c r="A21" t="str">
        <f>LOWER(LEFT(Corsi[[#This Row],[Sede]],2)&amp;RIGHT(Corsi[[#This Row],[Corso]],2)&amp;"-"&amp;LEFT(Corsi[[#This Row],[Corso]],3)&amp;"-"&amp;RIGHT(_xlfn.XLOOKUP(Corsi[[#This Row],[Docente]],Docenti[Nominativo],Docenti[ID],"xxxx",0),4)&amp;"-"&amp;RIGHT(Corsi[[#This Row],[Inizio]],4)&amp;RIGHT(Corsi[[#This Row],[Inizio slot]],1))</f>
        <v>onri-ita-0797-51835</v>
      </c>
      <c r="B21" t="s">
        <v>32</v>
      </c>
      <c r="C21" t="s">
        <v>24</v>
      </c>
      <c r="D21" s="3">
        <v>20</v>
      </c>
      <c r="E21" s="3">
        <f>Corsi[[#This Row],[Durata (h)]]*Corsi[[#This Row],[Prezzo orario]]*IF(Corsi[[#This Row],[Sede]]="Online",0.8,1)</f>
        <v>576</v>
      </c>
      <c r="F21">
        <v>1</v>
      </c>
      <c r="G21">
        <f>INT(DATEDIF(Corsi[[#This Row],[Inizio]],Corsi[[#This Row],[Fine]],"D")/7)*Corsi[[#This Row],[Ore settimanali]]</f>
        <v>36</v>
      </c>
      <c r="H21" s="2">
        <v>45183</v>
      </c>
      <c r="I21" s="2">
        <v>45435</v>
      </c>
      <c r="J21" s="6">
        <v>0.75</v>
      </c>
      <c r="K21" t="s">
        <v>16</v>
      </c>
      <c r="L21" t="s">
        <v>10</v>
      </c>
    </row>
    <row r="22" spans="1:12" ht="15" customHeight="1" x14ac:dyDescent="0.25">
      <c r="A22" t="str">
        <f>LOWER(LEFT(Corsi[[#This Row],[Sede]],2)&amp;RIGHT(Corsi[[#This Row],[Corso]],2)&amp;"-"&amp;LEFT(Corsi[[#This Row],[Corso]],3)&amp;"-"&amp;RIGHT(_xlfn.XLOOKUP(Corsi[[#This Row],[Docente]],Docenti[Nominativo],Docenti[ID],"xxxx",0),4)&amp;"-"&amp;RIGHT(Corsi[[#This Row],[Inizio]],4)&amp;RIGHT(Corsi[[#This Row],[Inizio slot]],1))</f>
        <v>bori-ita-5936-51843</v>
      </c>
      <c r="B22" t="s">
        <v>32</v>
      </c>
      <c r="C22" t="s">
        <v>24</v>
      </c>
      <c r="D22" s="3">
        <v>20</v>
      </c>
      <c r="E22" s="3">
        <f>Corsi[[#This Row],[Durata (h)]]*Corsi[[#This Row],[Prezzo orario]]*IF(Corsi[[#This Row],[Sede]]="Online",0.8,1)</f>
        <v>720</v>
      </c>
      <c r="F22">
        <v>1</v>
      </c>
      <c r="G22">
        <f>INT(DATEDIF(Corsi[[#This Row],[Inizio]],Corsi[[#This Row],[Fine]],"D")/7)*Corsi[[#This Row],[Ore settimanali]]</f>
        <v>36</v>
      </c>
      <c r="H22" s="2">
        <v>45184</v>
      </c>
      <c r="I22" s="2">
        <v>45436</v>
      </c>
      <c r="J22" s="6">
        <v>0.58333333333333337</v>
      </c>
      <c r="K22" t="s">
        <v>14</v>
      </c>
      <c r="L22" t="s">
        <v>9</v>
      </c>
    </row>
    <row r="23" spans="1:12" ht="15" customHeight="1" x14ac:dyDescent="0.25">
      <c r="A23" t="str">
        <f>LOWER(LEFT(Corsi[[#This Row],[Sede]],2)&amp;RIGHT(Corsi[[#This Row],[Corso]],2)&amp;"-"&amp;LEFT(Corsi[[#This Row],[Corso]],3)&amp;"-"&amp;RIGHT(_xlfn.XLOOKUP(Corsi[[#This Row],[Docente]],Docenti[Nominativo],Docenti[ID],"xxxx",0),4)&amp;"-"&amp;RIGHT(Corsi[[#This Row],[Inizio]],4)&amp;RIGHT(Corsi[[#This Row],[Inizio slot]],1))</f>
        <v>bara-let-0797-51845</v>
      </c>
      <c r="B23" t="s">
        <v>30</v>
      </c>
      <c r="C23" t="s">
        <v>24</v>
      </c>
      <c r="D23" s="3">
        <v>20</v>
      </c>
      <c r="E23" s="3">
        <f>Corsi[[#This Row],[Durata (h)]]*Corsi[[#This Row],[Prezzo orario]]*IF(Corsi[[#This Row],[Sede]]="Online",0.8,1)</f>
        <v>720</v>
      </c>
      <c r="F23">
        <v>1</v>
      </c>
      <c r="G23">
        <f>INT(DATEDIF(Corsi[[#This Row],[Inizio]],Corsi[[#This Row],[Fine]],"D")/7)*Corsi[[#This Row],[Ore settimanali]]</f>
        <v>36</v>
      </c>
      <c r="H23" s="2">
        <v>45184</v>
      </c>
      <c r="I23" s="2">
        <v>45436</v>
      </c>
      <c r="J23" s="6">
        <v>0.625</v>
      </c>
      <c r="K23" t="s">
        <v>16</v>
      </c>
      <c r="L23" t="s">
        <v>8</v>
      </c>
    </row>
    <row r="24" spans="1:12" ht="15" customHeight="1" x14ac:dyDescent="0.25">
      <c r="A24" t="str">
        <f>LOWER(LEFT(Corsi[[#This Row],[Sede]],2)&amp;RIGHT(Corsi[[#This Row],[Corso]],2)&amp;"-"&amp;LEFT(Corsi[[#This Row],[Corso]],3)&amp;"-"&amp;RIGHT(_xlfn.XLOOKUP(Corsi[[#This Row],[Docente]],Docenti[Nominativo],Docenti[ID],"xxxx",0),4)&amp;"-"&amp;RIGHT(Corsi[[#This Row],[Inizio]],4)&amp;RIGHT(Corsi[[#This Row],[Inizio slot]],1))</f>
        <v>onra-let-5936-51847</v>
      </c>
      <c r="B24" t="s">
        <v>30</v>
      </c>
      <c r="C24" t="s">
        <v>24</v>
      </c>
      <c r="D24" s="3">
        <v>20</v>
      </c>
      <c r="E24" s="3">
        <f>Corsi[[#This Row],[Durata (h)]]*Corsi[[#This Row],[Prezzo orario]]*IF(Corsi[[#This Row],[Sede]]="Online",0.8,1)</f>
        <v>576</v>
      </c>
      <c r="F24">
        <v>1</v>
      </c>
      <c r="G24">
        <f>INT(DATEDIF(Corsi[[#This Row],[Inizio]],Corsi[[#This Row],[Fine]],"D")/7)*Corsi[[#This Row],[Ore settimanali]]</f>
        <v>36</v>
      </c>
      <c r="H24" s="2">
        <v>45184</v>
      </c>
      <c r="I24" s="2">
        <v>45436</v>
      </c>
      <c r="J24" s="6">
        <v>0.66666666666666696</v>
      </c>
      <c r="K24" t="s">
        <v>14</v>
      </c>
      <c r="L24" t="s">
        <v>10</v>
      </c>
    </row>
    <row r="25" spans="1:12" ht="15" customHeight="1" x14ac:dyDescent="0.25">
      <c r="A25" t="str">
        <f>LOWER(LEFT(Corsi[[#This Row],[Sede]],2)&amp;RIGHT(Corsi[[#This Row],[Corso]],2)&amp;"-"&amp;LEFT(Corsi[[#This Row],[Corso]],3)&amp;"-"&amp;RIGHT(_xlfn.XLOOKUP(Corsi[[#This Row],[Docente]],Docenti[Nominativo],Docenti[ID],"xxxx",0),4)&amp;"-"&amp;RIGHT(Corsi[[#This Row],[Inizio]],4)&amp;RIGHT(Corsi[[#This Row],[Inizio slot]],1))</f>
        <v>naca-mec-4621-51843</v>
      </c>
      <c r="B25" t="s">
        <v>36</v>
      </c>
      <c r="C25" t="s">
        <v>25</v>
      </c>
      <c r="D25" s="3">
        <v>20</v>
      </c>
      <c r="E25" s="3">
        <f>Corsi[[#This Row],[Durata (h)]]*Corsi[[#This Row],[Prezzo orario]]*IF(Corsi[[#This Row],[Sede]]="Online",0.8,1)</f>
        <v>720</v>
      </c>
      <c r="F25">
        <v>1</v>
      </c>
      <c r="G25">
        <f>INT(DATEDIF(Corsi[[#This Row],[Inizio]],Corsi[[#This Row],[Fine]],"D")/7)*Corsi[[#This Row],[Ore settimanali]]</f>
        <v>36</v>
      </c>
      <c r="H25" s="2">
        <v>45184</v>
      </c>
      <c r="I25" s="2">
        <v>45436</v>
      </c>
      <c r="J25" s="6">
        <v>0.70833333333333304</v>
      </c>
      <c r="K25" t="s">
        <v>18</v>
      </c>
      <c r="L25" t="s">
        <v>11</v>
      </c>
    </row>
    <row r="26" spans="1:12" ht="15" customHeight="1" x14ac:dyDescent="0.25">
      <c r="A26" t="str">
        <f>LOWER(LEFT(Corsi[[#This Row],[Sede]],2)&amp;RIGHT(Corsi[[#This Row],[Corso]],2)&amp;"-"&amp;LEFT(Corsi[[#This Row],[Corso]],3)&amp;"-"&amp;RIGHT(_xlfn.XLOOKUP(Corsi[[#This Row],[Docente]],Docenti[Nominativo],Docenti[ID],"xxxx",0),4)&amp;"-"&amp;RIGHT(Corsi[[#This Row],[Inizio]],4)&amp;RIGHT(Corsi[[#This Row],[Inizio slot]],1))</f>
        <v>onca-mec-0147-51845</v>
      </c>
      <c r="B26" t="s">
        <v>36</v>
      </c>
      <c r="C26" t="s">
        <v>25</v>
      </c>
      <c r="D26" s="3">
        <v>20</v>
      </c>
      <c r="E26" s="3">
        <f>Corsi[[#This Row],[Durata (h)]]*Corsi[[#This Row],[Prezzo orario]]*IF(Corsi[[#This Row],[Sede]]="Online",0.8,1)</f>
        <v>576</v>
      </c>
      <c r="F26">
        <v>1</v>
      </c>
      <c r="G26">
        <f>INT(DATEDIF(Corsi[[#This Row],[Inizio]],Corsi[[#This Row],[Fine]],"D")/7)*Corsi[[#This Row],[Ore settimanali]]</f>
        <v>36</v>
      </c>
      <c r="H26" s="2">
        <v>45184</v>
      </c>
      <c r="I26" s="2">
        <v>45436</v>
      </c>
      <c r="J26" s="6">
        <v>0.75</v>
      </c>
      <c r="K26" t="s">
        <v>21</v>
      </c>
      <c r="L26" t="s">
        <v>10</v>
      </c>
    </row>
    <row r="27" spans="1:12" ht="15" customHeight="1" x14ac:dyDescent="0.25">
      <c r="A27" t="str">
        <f>LOWER(LEFT(Corsi[[#This Row],[Sede]],2)&amp;RIGHT(Corsi[[#This Row],[Corso]],2)&amp;"-"&amp;LEFT(Corsi[[#This Row],[Corso]],3)&amp;"-"&amp;RIGHT(_xlfn.XLOOKUP(Corsi[[#This Row],[Docente]],Docenti[Nominativo],Docenti[ID],"xxxx",0),4)&amp;"-"&amp;RIGHT(Corsi[[#This Row],[Inizio]],4)&amp;RIGHT(Corsi[[#This Row],[Inizio slot]],1))</f>
        <v>naca-ter-4621-51873</v>
      </c>
      <c r="B27" t="s">
        <v>37</v>
      </c>
      <c r="C27" t="s">
        <v>25</v>
      </c>
      <c r="D27" s="3">
        <v>20</v>
      </c>
      <c r="E27" s="3">
        <f>Corsi[[#This Row],[Durata (h)]]*Corsi[[#This Row],[Prezzo orario]]*IF(Corsi[[#This Row],[Sede]]="Online",0.8,1)</f>
        <v>720</v>
      </c>
      <c r="F27">
        <v>1</v>
      </c>
      <c r="G27">
        <f>INT(DATEDIF(Corsi[[#This Row],[Inizio]],Corsi[[#This Row],[Fine]],"D")/7)*Corsi[[#This Row],[Ore settimanali]]</f>
        <v>36</v>
      </c>
      <c r="H27" s="2">
        <v>45187</v>
      </c>
      <c r="I27" s="2">
        <v>45439</v>
      </c>
      <c r="J27" s="6">
        <v>0.58333333333333337</v>
      </c>
      <c r="K27" t="s">
        <v>18</v>
      </c>
      <c r="L27" t="s">
        <v>11</v>
      </c>
    </row>
    <row r="28" spans="1:12" ht="15" customHeight="1" x14ac:dyDescent="0.25">
      <c r="A28" t="str">
        <f>LOWER(LEFT(Corsi[[#This Row],[Sede]],2)&amp;RIGHT(Corsi[[#This Row],[Corso]],2)&amp;"-"&amp;LEFT(Corsi[[#This Row],[Corso]],3)&amp;"-"&amp;RIGHT(_xlfn.XLOOKUP(Corsi[[#This Row],[Docente]],Docenti[Nominativo],Docenti[ID],"xxxx",0),4)&amp;"-"&amp;RIGHT(Corsi[[#This Row],[Inizio]],4)&amp;RIGHT(Corsi[[#This Row],[Inizio slot]],1))</f>
        <v>onca-ter-0147-51875</v>
      </c>
      <c r="B28" t="s">
        <v>37</v>
      </c>
      <c r="C28" t="s">
        <v>25</v>
      </c>
      <c r="D28" s="3">
        <v>20</v>
      </c>
      <c r="E28" s="3">
        <f>Corsi[[#This Row],[Durata (h)]]*Corsi[[#This Row],[Prezzo orario]]*IF(Corsi[[#This Row],[Sede]]="Online",0.8,1)</f>
        <v>576</v>
      </c>
      <c r="F28">
        <v>1</v>
      </c>
      <c r="G28">
        <f>INT(DATEDIF(Corsi[[#This Row],[Inizio]],Corsi[[#This Row],[Fine]],"D")/7)*Corsi[[#This Row],[Ore settimanali]]</f>
        <v>36</v>
      </c>
      <c r="H28" s="2">
        <v>45187</v>
      </c>
      <c r="I28" s="2">
        <v>45439</v>
      </c>
      <c r="J28" s="6">
        <v>0.625</v>
      </c>
      <c r="K28" t="s">
        <v>21</v>
      </c>
      <c r="L28" t="s">
        <v>10</v>
      </c>
    </row>
    <row r="29" spans="1:12" ht="15" customHeight="1" x14ac:dyDescent="0.25">
      <c r="A29" t="str">
        <f>LOWER(LEFT(Corsi[[#This Row],[Sede]],2)&amp;RIGHT(Corsi[[#This Row],[Corso]],2)&amp;"-"&amp;LEFT(Corsi[[#This Row],[Corso]],3)&amp;"-"&amp;RIGHT(_xlfn.XLOOKUP(Corsi[[#This Row],[Docente]],Docenti[Nominativo],Docenti[ID],"xxxx",0),4)&amp;"-"&amp;RIGHT(Corsi[[#This Row],[Inizio]],4)&amp;RIGHT(Corsi[[#This Row],[Inizio slot]],1))</f>
        <v>baia-tri-4226-51877</v>
      </c>
      <c r="B29" t="s">
        <v>35</v>
      </c>
      <c r="C29" t="s">
        <v>23</v>
      </c>
      <c r="D29" s="3">
        <v>20</v>
      </c>
      <c r="E29" s="3">
        <f>Corsi[[#This Row],[Durata (h)]]*Corsi[[#This Row],[Prezzo orario]]*IF(Corsi[[#This Row],[Sede]]="Online",0.8,1)</f>
        <v>720</v>
      </c>
      <c r="F29">
        <v>1</v>
      </c>
      <c r="G29">
        <f>INT(DATEDIF(Corsi[[#This Row],[Inizio]],Corsi[[#This Row],[Fine]],"D")/7)*Corsi[[#This Row],[Ore settimanali]]</f>
        <v>36</v>
      </c>
      <c r="H29" s="2">
        <v>45187</v>
      </c>
      <c r="I29" s="2">
        <v>45439</v>
      </c>
      <c r="J29" s="6">
        <v>0.66666666666666696</v>
      </c>
      <c r="K29" t="s">
        <v>20</v>
      </c>
      <c r="L29" t="s">
        <v>8</v>
      </c>
    </row>
    <row r="30" spans="1:12" ht="15" customHeight="1" x14ac:dyDescent="0.25">
      <c r="A30" t="str">
        <f>LOWER(LEFT(Corsi[[#This Row],[Sede]],2)&amp;RIGHT(Corsi[[#This Row],[Corso]],2)&amp;"-"&amp;LEFT(Corsi[[#This Row],[Corso]],3)&amp;"-"&amp;RIGHT(_xlfn.XLOOKUP(Corsi[[#This Row],[Docente]],Docenti[Nominativo],Docenti[ID],"xxxx",0),4)&amp;"-"&amp;RIGHT(Corsi[[#This Row],[Inizio]],4)&amp;RIGHT(Corsi[[#This Row],[Inizio slot]],1))</f>
        <v>boia-tri-9827-51873</v>
      </c>
      <c r="B30" t="s">
        <v>35</v>
      </c>
      <c r="C30" t="s">
        <v>23</v>
      </c>
      <c r="D30" s="3">
        <v>20</v>
      </c>
      <c r="E30" s="3">
        <f>Corsi[[#This Row],[Durata (h)]]*Corsi[[#This Row],[Prezzo orario]]*IF(Corsi[[#This Row],[Sede]]="Online",0.8,1)</f>
        <v>720</v>
      </c>
      <c r="F30">
        <v>1</v>
      </c>
      <c r="G30">
        <f>INT(DATEDIF(Corsi[[#This Row],[Inizio]],Corsi[[#This Row],[Fine]],"D")/7)*Corsi[[#This Row],[Ore settimanali]]</f>
        <v>36</v>
      </c>
      <c r="H30" s="2">
        <v>45187</v>
      </c>
      <c r="I30" s="2">
        <v>45439</v>
      </c>
      <c r="J30" s="6">
        <v>0.70833333333333304</v>
      </c>
      <c r="K30" t="s">
        <v>13</v>
      </c>
      <c r="L30" t="s">
        <v>9</v>
      </c>
    </row>
    <row r="31" spans="1:12" ht="15" customHeight="1" x14ac:dyDescent="0.25">
      <c r="A31" t="str">
        <f>LOWER(LEFT(Corsi[[#This Row],[Sede]],2)&amp;RIGHT(Corsi[[#This Row],[Corso]],2)&amp;"-"&amp;LEFT(Corsi[[#This Row],[Corso]],3)&amp;"-"&amp;RIGHT(_xlfn.XLOOKUP(Corsi[[#This Row],[Docente]],Docenti[Nominativo],Docenti[ID],"xxxx",0),4)&amp;"-"&amp;RIGHT(Corsi[[#This Row],[Inizio]],4)&amp;RIGHT(Corsi[[#This Row],[Inizio slot]],1))</f>
        <v>onia-tri-9219-51875</v>
      </c>
      <c r="B31" t="s">
        <v>35</v>
      </c>
      <c r="C31" t="s">
        <v>23</v>
      </c>
      <c r="D31" s="3">
        <v>20</v>
      </c>
      <c r="E31" s="3">
        <f>Corsi[[#This Row],[Durata (h)]]*Corsi[[#This Row],[Prezzo orario]]*IF(Corsi[[#This Row],[Sede]]="Online",0.8,1)</f>
        <v>576</v>
      </c>
      <c r="F31">
        <v>1</v>
      </c>
      <c r="G31">
        <f>INT(DATEDIF(Corsi[[#This Row],[Inizio]],Corsi[[#This Row],[Fine]],"D")/7)*Corsi[[#This Row],[Ore settimanali]]</f>
        <v>36</v>
      </c>
      <c r="H31" s="2">
        <v>45187</v>
      </c>
      <c r="I31" s="2">
        <v>45439</v>
      </c>
      <c r="J31" s="6">
        <v>0.75</v>
      </c>
      <c r="K31" t="s">
        <v>17</v>
      </c>
      <c r="L31" t="s">
        <v>10</v>
      </c>
    </row>
  </sheetData>
  <phoneticPr fontId="2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642F9C-BC8F-46E7-8B5C-8DD505C1CD02}">
  <sheetPr codeName="Sheet3"/>
  <dimension ref="A1:E11"/>
  <sheetViews>
    <sheetView zoomScale="130" zoomScaleNormal="130" workbookViewId="0"/>
  </sheetViews>
  <sheetFormatPr defaultRowHeight="15" customHeight="1" x14ac:dyDescent="0.25"/>
  <cols>
    <col min="1" max="1" width="19" bestFit="1" customWidth="1"/>
    <col min="2" max="2" width="17.7109375" customWidth="1"/>
    <col min="3" max="4" width="14.5703125" customWidth="1"/>
    <col min="5" max="5" width="15.140625" customWidth="1"/>
  </cols>
  <sheetData>
    <row r="1" spans="1:5" ht="15" customHeight="1" x14ac:dyDescent="0.25">
      <c r="A1" s="28" t="s">
        <v>40</v>
      </c>
      <c r="B1" s="28" t="s">
        <v>41</v>
      </c>
      <c r="C1" s="28" t="s">
        <v>42</v>
      </c>
      <c r="D1" s="28" t="s">
        <v>43</v>
      </c>
      <c r="E1" s="28" t="s">
        <v>5</v>
      </c>
    </row>
    <row r="2" spans="1:5" ht="15" customHeight="1" x14ac:dyDescent="0.25">
      <c r="A2" t="s">
        <v>12</v>
      </c>
      <c r="B2" t="str">
        <f>CODE(LEFT(Docenti[[#This Row],[Nominativo]],1))&amp;CODE(LEFT(Docenti[[#This Row],[Nominativo]],4))&amp;Docenti[[#This Row],[Data Nascita]]</f>
        <v>676732646</v>
      </c>
      <c r="C2" t="s">
        <v>44</v>
      </c>
      <c r="D2" s="2">
        <v>32646</v>
      </c>
      <c r="E2" t="s">
        <v>22</v>
      </c>
    </row>
    <row r="3" spans="1:5" ht="15" customHeight="1" x14ac:dyDescent="0.25">
      <c r="A3" t="s">
        <v>13</v>
      </c>
      <c r="B3" t="str">
        <f>CODE(LEFT(Docenti[[#This Row],[Nominativo]],1))&amp;CODE(LEFT(Docenti[[#This Row],[Nominativo]],4))&amp;Docenti[[#This Row],[Data Nascita]]</f>
        <v>848429827</v>
      </c>
      <c r="C3" t="s">
        <v>9</v>
      </c>
      <c r="D3" s="2">
        <v>29827</v>
      </c>
      <c r="E3" t="s">
        <v>23</v>
      </c>
    </row>
    <row r="4" spans="1:5" ht="15" customHeight="1" x14ac:dyDescent="0.25">
      <c r="A4" t="s">
        <v>14</v>
      </c>
      <c r="B4" t="str">
        <f>CODE(LEFT(Docenti[[#This Row],[Nominativo]],1))&amp;CODE(LEFT(Docenti[[#This Row],[Nominativo]],4))&amp;Docenti[[#This Row],[Data Nascita]]</f>
        <v>838325936</v>
      </c>
      <c r="C4" t="s">
        <v>45</v>
      </c>
      <c r="D4" s="2">
        <v>25936</v>
      </c>
      <c r="E4" t="s">
        <v>24</v>
      </c>
    </row>
    <row r="5" spans="1:5" ht="15" customHeight="1" x14ac:dyDescent="0.25">
      <c r="A5" t="s">
        <v>15</v>
      </c>
      <c r="B5" t="str">
        <f>CODE(LEFT(Docenti[[#This Row],[Nominativo]],1))&amp;CODE(LEFT(Docenti[[#This Row],[Nominativo]],4))&amp;Docenti[[#This Row],[Data Nascita]]</f>
        <v>767631289</v>
      </c>
      <c r="C5" t="s">
        <v>46</v>
      </c>
      <c r="D5" s="2">
        <v>31289</v>
      </c>
      <c r="E5" t="s">
        <v>22</v>
      </c>
    </row>
    <row r="6" spans="1:5" ht="15" customHeight="1" x14ac:dyDescent="0.25">
      <c r="A6" t="s">
        <v>16</v>
      </c>
      <c r="B6" t="str">
        <f>CODE(LEFT(Docenti[[#This Row],[Nominativo]],1))&amp;CODE(LEFT(Docenti[[#This Row],[Nominativo]],4))&amp;Docenti[[#This Row],[Data Nascita]]</f>
        <v>808030797</v>
      </c>
      <c r="C6" t="s">
        <v>8</v>
      </c>
      <c r="D6" s="2">
        <v>30797</v>
      </c>
      <c r="E6" t="s">
        <v>24</v>
      </c>
    </row>
    <row r="7" spans="1:5" ht="15" customHeight="1" x14ac:dyDescent="0.25">
      <c r="A7" t="s">
        <v>17</v>
      </c>
      <c r="B7" t="str">
        <f>CODE(LEFT(Docenti[[#This Row],[Nominativo]],1))&amp;CODE(LEFT(Docenti[[#This Row],[Nominativo]],4))&amp;Docenti[[#This Row],[Data Nascita]]</f>
        <v>777729219</v>
      </c>
      <c r="C7" t="s">
        <v>47</v>
      </c>
      <c r="D7" s="2">
        <v>29219</v>
      </c>
      <c r="E7" t="s">
        <v>23</v>
      </c>
    </row>
    <row r="8" spans="1:5" ht="15" customHeight="1" x14ac:dyDescent="0.25">
      <c r="A8" t="s">
        <v>18</v>
      </c>
      <c r="B8" t="str">
        <f>CODE(LEFT(Docenti[[#This Row],[Nominativo]],1))&amp;CODE(LEFT(Docenti[[#This Row],[Nominativo]],4))&amp;Docenti[[#This Row],[Data Nascita]]</f>
        <v>717124621</v>
      </c>
      <c r="C8" t="s">
        <v>11</v>
      </c>
      <c r="D8" s="2">
        <v>24621</v>
      </c>
      <c r="E8" t="s">
        <v>25</v>
      </c>
    </row>
    <row r="9" spans="1:5" ht="15" customHeight="1" x14ac:dyDescent="0.25">
      <c r="A9" t="s">
        <v>19</v>
      </c>
      <c r="B9" t="str">
        <f>CODE(LEFT(Docenti[[#This Row],[Nominativo]],1))&amp;CODE(LEFT(Docenti[[#This Row],[Nominativo]],4))&amp;Docenti[[#This Row],[Data Nascita]]</f>
        <v>787828901</v>
      </c>
      <c r="C9" t="s">
        <v>48</v>
      </c>
      <c r="D9" s="2">
        <v>28901</v>
      </c>
      <c r="E9" t="s">
        <v>22</v>
      </c>
    </row>
    <row r="10" spans="1:5" ht="15" customHeight="1" x14ac:dyDescent="0.25">
      <c r="A10" t="s">
        <v>20</v>
      </c>
      <c r="B10" t="str">
        <f>CODE(LEFT(Docenti[[#This Row],[Nominativo]],1))&amp;CODE(LEFT(Docenti[[#This Row],[Nominativo]],4))&amp;Docenti[[#This Row],[Data Nascita]]</f>
        <v>777734226</v>
      </c>
      <c r="C10" t="s">
        <v>8</v>
      </c>
      <c r="D10" s="2">
        <v>34226</v>
      </c>
      <c r="E10" t="s">
        <v>23</v>
      </c>
    </row>
    <row r="11" spans="1:5" ht="15" customHeight="1" x14ac:dyDescent="0.25">
      <c r="A11" t="s">
        <v>21</v>
      </c>
      <c r="B11" t="str">
        <f>CODE(LEFT(Docenti[[#This Row],[Nominativo]],1))&amp;CODE(LEFT(Docenti[[#This Row],[Nominativo]],4))&amp;Docenti[[#This Row],[Data Nascita]]</f>
        <v>656530147</v>
      </c>
      <c r="C11" t="s">
        <v>49</v>
      </c>
      <c r="D11" s="2">
        <v>30147</v>
      </c>
      <c r="E11" t="s">
        <v>25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F2D6F-66F1-4375-B3E4-8AA4541EEF7C}">
  <sheetPr codeName="Sheet4"/>
  <dimension ref="A1:C5"/>
  <sheetViews>
    <sheetView zoomScale="145" zoomScaleNormal="145" workbookViewId="0"/>
  </sheetViews>
  <sheetFormatPr defaultRowHeight="15" customHeight="1" x14ac:dyDescent="0.25"/>
  <cols>
    <col min="2" max="2" width="18" bestFit="1" customWidth="1"/>
    <col min="3" max="3" width="11.7109375" customWidth="1"/>
  </cols>
  <sheetData>
    <row r="1" spans="1:3" ht="15" customHeight="1" x14ac:dyDescent="0.25">
      <c r="A1" s="29" t="s">
        <v>50</v>
      </c>
      <c r="B1" s="29" t="s">
        <v>51</v>
      </c>
      <c r="C1" s="29" t="s">
        <v>52</v>
      </c>
    </row>
    <row r="2" spans="1:3" ht="15" customHeight="1" x14ac:dyDescent="0.25">
      <c r="A2" t="s">
        <v>8</v>
      </c>
      <c r="B2" t="s">
        <v>53</v>
      </c>
      <c r="C2">
        <v>30</v>
      </c>
    </row>
    <row r="3" spans="1:3" ht="15" customHeight="1" x14ac:dyDescent="0.25">
      <c r="A3" t="s">
        <v>9</v>
      </c>
      <c r="B3" t="s">
        <v>54</v>
      </c>
      <c r="C3">
        <v>22</v>
      </c>
    </row>
    <row r="4" spans="1:3" ht="15" customHeight="1" x14ac:dyDescent="0.25">
      <c r="A4" t="s">
        <v>11</v>
      </c>
      <c r="B4" t="s">
        <v>55</v>
      </c>
      <c r="C4">
        <v>15</v>
      </c>
    </row>
    <row r="5" spans="1:3" ht="15" customHeight="1" x14ac:dyDescent="0.25">
      <c r="A5" t="s">
        <v>10</v>
      </c>
      <c r="B5" t="s">
        <v>56</v>
      </c>
      <c r="C5">
        <v>35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177144-DB39-4A5B-ABC7-F72ACC967CF4}">
  <sheetPr codeName="Sheet5"/>
  <dimension ref="B1:U39"/>
  <sheetViews>
    <sheetView zoomScale="90" zoomScaleNormal="90" workbookViewId="0">
      <selection activeCell="I35" sqref="I35"/>
    </sheetView>
  </sheetViews>
  <sheetFormatPr defaultRowHeight="12" x14ac:dyDescent="0.25"/>
  <cols>
    <col min="2" max="2" width="19.140625" bestFit="1" customWidth="1"/>
    <col min="3" max="3" width="13.7109375" bestFit="1" customWidth="1"/>
    <col min="4" max="6" width="11.28515625" bestFit="1" customWidth="1"/>
    <col min="7" max="7" width="19.140625" bestFit="1" customWidth="1"/>
    <col min="8" max="8" width="15.85546875" bestFit="1" customWidth="1"/>
    <col min="9" max="9" width="14.140625" customWidth="1"/>
    <col min="12" max="12" width="19.140625" bestFit="1" customWidth="1"/>
    <col min="13" max="13" width="10.5703125" bestFit="1" customWidth="1"/>
    <col min="16" max="16" width="19.85546875" bestFit="1" customWidth="1"/>
    <col min="17" max="20" width="13.7109375" bestFit="1" customWidth="1"/>
    <col min="21" max="21" width="19.140625" bestFit="1" customWidth="1"/>
    <col min="22" max="22" width="12.85546875" bestFit="1" customWidth="1"/>
    <col min="23" max="23" width="17" bestFit="1" customWidth="1"/>
    <col min="24" max="24" width="16.7109375" bestFit="1" customWidth="1"/>
    <col min="25" max="25" width="15.42578125" bestFit="1" customWidth="1"/>
    <col min="26" max="26" width="22" bestFit="1" customWidth="1"/>
  </cols>
  <sheetData>
    <row r="1" spans="2:21" x14ac:dyDescent="0.25">
      <c r="B1" s="30" t="s">
        <v>3</v>
      </c>
      <c r="C1" t="s" vm="1">
        <v>69</v>
      </c>
    </row>
    <row r="3" spans="2:21" x14ac:dyDescent="0.25">
      <c r="B3" s="30" t="s">
        <v>70</v>
      </c>
      <c r="C3" s="30" t="s">
        <v>71</v>
      </c>
      <c r="L3" s="30" t="s">
        <v>71</v>
      </c>
      <c r="M3" t="s">
        <v>72</v>
      </c>
      <c r="P3" s="30" t="s">
        <v>75</v>
      </c>
      <c r="Q3" s="30" t="s">
        <v>71</v>
      </c>
    </row>
    <row r="4" spans="2:21" x14ac:dyDescent="0.25">
      <c r="B4" s="30" t="s">
        <v>71</v>
      </c>
      <c r="C4" t="s">
        <v>8</v>
      </c>
      <c r="D4" t="s">
        <v>9</v>
      </c>
      <c r="E4" t="s">
        <v>11</v>
      </c>
      <c r="F4" t="s">
        <v>10</v>
      </c>
      <c r="G4" t="s">
        <v>87</v>
      </c>
      <c r="L4" s="31" t="s">
        <v>25</v>
      </c>
      <c r="M4" s="40">
        <v>6</v>
      </c>
      <c r="P4" s="30" t="s">
        <v>71</v>
      </c>
      <c r="Q4" t="s">
        <v>25</v>
      </c>
      <c r="R4" t="s">
        <v>22</v>
      </c>
      <c r="S4" t="s">
        <v>24</v>
      </c>
      <c r="T4" t="s">
        <v>23</v>
      </c>
      <c r="U4" t="s">
        <v>87</v>
      </c>
    </row>
    <row r="5" spans="2:21" x14ac:dyDescent="0.25">
      <c r="B5" s="31" t="s">
        <v>25</v>
      </c>
      <c r="C5" s="3"/>
      <c r="D5" s="3"/>
      <c r="E5" s="3">
        <v>960</v>
      </c>
      <c r="F5" s="3">
        <v>768</v>
      </c>
      <c r="G5" s="3">
        <v>864</v>
      </c>
      <c r="L5" s="31" t="s">
        <v>22</v>
      </c>
      <c r="M5" s="40">
        <v>9</v>
      </c>
      <c r="P5" s="31" t="s">
        <v>20</v>
      </c>
      <c r="Q5" s="3"/>
      <c r="R5" s="3"/>
      <c r="S5" s="3"/>
      <c r="T5" s="3">
        <v>3600</v>
      </c>
      <c r="U5" s="3">
        <v>3600</v>
      </c>
    </row>
    <row r="6" spans="2:21" x14ac:dyDescent="0.25">
      <c r="B6" s="31" t="s">
        <v>22</v>
      </c>
      <c r="C6" s="3">
        <v>1440</v>
      </c>
      <c r="D6" s="3"/>
      <c r="E6" s="3">
        <v>1440</v>
      </c>
      <c r="F6" s="3">
        <v>1152</v>
      </c>
      <c r="G6" s="3">
        <v>1344</v>
      </c>
      <c r="L6" s="31" t="s">
        <v>24</v>
      </c>
      <c r="M6" s="40">
        <v>6</v>
      </c>
      <c r="P6" s="31" t="s">
        <v>17</v>
      </c>
      <c r="Q6" s="3"/>
      <c r="R6" s="3"/>
      <c r="S6" s="3"/>
      <c r="T6" s="3">
        <v>2880</v>
      </c>
      <c r="U6" s="3">
        <v>2880</v>
      </c>
    </row>
    <row r="7" spans="2:21" x14ac:dyDescent="0.25">
      <c r="B7" s="31" t="s">
        <v>24</v>
      </c>
      <c r="C7" s="3">
        <v>720</v>
      </c>
      <c r="D7" s="3">
        <v>720</v>
      </c>
      <c r="E7" s="3"/>
      <c r="F7" s="3">
        <v>576</v>
      </c>
      <c r="G7" s="3">
        <v>672</v>
      </c>
      <c r="L7" s="31" t="s">
        <v>23</v>
      </c>
      <c r="M7" s="40">
        <v>9</v>
      </c>
      <c r="P7" s="31" t="s">
        <v>12</v>
      </c>
      <c r="Q7" s="3"/>
      <c r="R7" s="3">
        <v>4320</v>
      </c>
      <c r="S7" s="3"/>
      <c r="T7" s="3"/>
      <c r="U7" s="3">
        <v>4320</v>
      </c>
    </row>
    <row r="8" spans="2:21" x14ac:dyDescent="0.25">
      <c r="B8" s="31" t="s">
        <v>23</v>
      </c>
      <c r="C8" s="3">
        <v>1200</v>
      </c>
      <c r="D8" s="3">
        <v>1200</v>
      </c>
      <c r="E8" s="3"/>
      <c r="F8" s="3">
        <v>960</v>
      </c>
      <c r="G8" s="3">
        <v>1120</v>
      </c>
      <c r="L8" s="31" t="s">
        <v>87</v>
      </c>
      <c r="M8" s="40">
        <v>30</v>
      </c>
      <c r="P8" s="31" t="s">
        <v>19</v>
      </c>
      <c r="Q8" s="3"/>
      <c r="R8" s="3">
        <v>4320</v>
      </c>
      <c r="S8" s="3"/>
      <c r="T8" s="3"/>
      <c r="U8" s="3">
        <v>4320</v>
      </c>
    </row>
    <row r="9" spans="2:21" x14ac:dyDescent="0.25">
      <c r="B9" s="31" t="s">
        <v>87</v>
      </c>
      <c r="C9" s="3">
        <v>1170</v>
      </c>
      <c r="D9" s="3">
        <v>1008</v>
      </c>
      <c r="E9" s="3">
        <v>1200</v>
      </c>
      <c r="F9" s="3">
        <v>890.18181818181813</v>
      </c>
      <c r="G9" s="3">
        <v>1046.4000000000001</v>
      </c>
      <c r="P9" s="31" t="s">
        <v>15</v>
      </c>
      <c r="Q9" s="3"/>
      <c r="R9" s="3">
        <v>3456</v>
      </c>
      <c r="S9" s="3"/>
      <c r="T9" s="3"/>
      <c r="U9" s="3">
        <v>3456</v>
      </c>
    </row>
    <row r="10" spans="2:21" x14ac:dyDescent="0.25">
      <c r="P10" s="31" t="s">
        <v>16</v>
      </c>
      <c r="Q10" s="3"/>
      <c r="R10" s="3"/>
      <c r="S10" s="3">
        <v>2016</v>
      </c>
      <c r="T10" s="3"/>
      <c r="U10" s="3">
        <v>2016</v>
      </c>
    </row>
    <row r="11" spans="2:21" x14ac:dyDescent="0.25">
      <c r="P11" s="31" t="s">
        <v>14</v>
      </c>
      <c r="Q11" s="3"/>
      <c r="R11" s="3"/>
      <c r="S11" s="3">
        <v>2016</v>
      </c>
      <c r="T11" s="3"/>
      <c r="U11" s="3">
        <v>2016</v>
      </c>
    </row>
    <row r="12" spans="2:21" x14ac:dyDescent="0.25">
      <c r="P12" s="31" t="s">
        <v>13</v>
      </c>
      <c r="Q12" s="3"/>
      <c r="R12" s="3"/>
      <c r="S12" s="3"/>
      <c r="T12" s="3">
        <v>3600</v>
      </c>
      <c r="U12" s="3">
        <v>3600</v>
      </c>
    </row>
    <row r="13" spans="2:21" x14ac:dyDescent="0.25">
      <c r="P13" s="31" t="s">
        <v>21</v>
      </c>
      <c r="Q13" s="3">
        <v>2304</v>
      </c>
      <c r="R13" s="3"/>
      <c r="S13" s="3"/>
      <c r="T13" s="3"/>
      <c r="U13" s="3">
        <v>2304</v>
      </c>
    </row>
    <row r="14" spans="2:21" x14ac:dyDescent="0.25">
      <c r="P14" s="31" t="s">
        <v>18</v>
      </c>
      <c r="Q14" s="3">
        <v>2880</v>
      </c>
      <c r="R14" s="3"/>
      <c r="S14" s="3"/>
      <c r="T14" s="3"/>
      <c r="U14" s="3">
        <v>2880</v>
      </c>
    </row>
    <row r="15" spans="2:21" x14ac:dyDescent="0.25">
      <c r="P15" s="31" t="s">
        <v>87</v>
      </c>
      <c r="Q15" s="3">
        <v>5184</v>
      </c>
      <c r="R15" s="3">
        <v>12096</v>
      </c>
      <c r="S15" s="3">
        <v>4032</v>
      </c>
      <c r="T15" s="3">
        <v>10080</v>
      </c>
      <c r="U15" s="3">
        <v>31392</v>
      </c>
    </row>
    <row r="18" spans="2:21" x14ac:dyDescent="0.25">
      <c r="B18" s="30" t="s">
        <v>3</v>
      </c>
      <c r="C18" t="s" vm="1">
        <v>69</v>
      </c>
    </row>
    <row r="20" spans="2:21" x14ac:dyDescent="0.25">
      <c r="B20" s="30" t="s">
        <v>71</v>
      </c>
      <c r="C20" t="s">
        <v>74</v>
      </c>
      <c r="L20" s="30" t="s">
        <v>71</v>
      </c>
      <c r="M20" t="s">
        <v>73</v>
      </c>
      <c r="P20" s="30" t="s">
        <v>76</v>
      </c>
      <c r="Q20" s="30" t="s">
        <v>71</v>
      </c>
    </row>
    <row r="21" spans="2:21" x14ac:dyDescent="0.25">
      <c r="B21" s="31" t="s">
        <v>25</v>
      </c>
      <c r="C21" s="40">
        <v>48</v>
      </c>
      <c r="L21" s="31" t="s">
        <v>25</v>
      </c>
      <c r="M21" s="40">
        <v>6</v>
      </c>
      <c r="P21" s="30" t="s">
        <v>71</v>
      </c>
      <c r="Q21" t="s">
        <v>25</v>
      </c>
      <c r="R21" t="s">
        <v>22</v>
      </c>
      <c r="S21" t="s">
        <v>24</v>
      </c>
      <c r="T21" t="s">
        <v>23</v>
      </c>
      <c r="U21" t="s">
        <v>87</v>
      </c>
    </row>
    <row r="22" spans="2:21" x14ac:dyDescent="0.25">
      <c r="B22" s="31" t="s">
        <v>22</v>
      </c>
      <c r="C22" s="40">
        <v>72</v>
      </c>
      <c r="L22" s="31" t="s">
        <v>22</v>
      </c>
      <c r="M22" s="40">
        <v>9</v>
      </c>
      <c r="P22" s="31" t="s">
        <v>21</v>
      </c>
      <c r="Q22" s="39">
        <v>80640</v>
      </c>
      <c r="R22" s="39"/>
      <c r="S22" s="39"/>
      <c r="T22" s="39"/>
      <c r="U22" s="39">
        <v>80640</v>
      </c>
    </row>
    <row r="23" spans="2:21" x14ac:dyDescent="0.25">
      <c r="B23" s="31" t="s">
        <v>24</v>
      </c>
      <c r="C23" s="40">
        <v>36</v>
      </c>
      <c r="L23" s="31" t="s">
        <v>24</v>
      </c>
      <c r="M23" s="40">
        <v>6</v>
      </c>
      <c r="P23" s="31" t="s">
        <v>12</v>
      </c>
      <c r="Q23" s="39"/>
      <c r="R23" s="39">
        <v>64800</v>
      </c>
      <c r="S23" s="39"/>
      <c r="T23" s="39"/>
      <c r="U23" s="39">
        <v>64800</v>
      </c>
    </row>
    <row r="24" spans="2:21" x14ac:dyDescent="0.25">
      <c r="B24" s="31" t="s">
        <v>23</v>
      </c>
      <c r="C24" s="40">
        <v>60</v>
      </c>
      <c r="L24" s="31" t="s">
        <v>23</v>
      </c>
      <c r="M24" s="40">
        <v>9</v>
      </c>
      <c r="P24" s="31" t="s">
        <v>18</v>
      </c>
      <c r="Q24" s="39">
        <v>43200</v>
      </c>
      <c r="R24" s="39"/>
      <c r="S24" s="39"/>
      <c r="T24" s="39"/>
      <c r="U24" s="39">
        <v>43200</v>
      </c>
    </row>
    <row r="25" spans="2:21" x14ac:dyDescent="0.25">
      <c r="B25" s="31" t="s">
        <v>87</v>
      </c>
      <c r="C25" s="40">
        <v>56.4</v>
      </c>
      <c r="L25" s="31" t="s">
        <v>87</v>
      </c>
      <c r="M25" s="40">
        <v>30</v>
      </c>
      <c r="P25" s="31" t="s">
        <v>15</v>
      </c>
      <c r="Q25" s="39"/>
      <c r="R25" s="39">
        <v>120960</v>
      </c>
      <c r="S25" s="39"/>
      <c r="T25" s="39"/>
      <c r="U25" s="39">
        <v>120960</v>
      </c>
    </row>
    <row r="26" spans="2:21" x14ac:dyDescent="0.25">
      <c r="P26" s="31" t="s">
        <v>20</v>
      </c>
      <c r="Q26" s="39"/>
      <c r="R26" s="39"/>
      <c r="S26" s="39"/>
      <c r="T26" s="39">
        <v>108000</v>
      </c>
      <c r="U26" s="39">
        <v>108000</v>
      </c>
    </row>
    <row r="27" spans="2:21" x14ac:dyDescent="0.25">
      <c r="P27" s="31" t="s">
        <v>17</v>
      </c>
      <c r="Q27" s="39"/>
      <c r="R27" s="39"/>
      <c r="S27" s="39"/>
      <c r="T27" s="39">
        <v>100800</v>
      </c>
      <c r="U27" s="39">
        <v>100800</v>
      </c>
    </row>
    <row r="28" spans="2:21" x14ac:dyDescent="0.25">
      <c r="P28" s="31" t="s">
        <v>19</v>
      </c>
      <c r="Q28" s="39"/>
      <c r="R28" s="39">
        <v>129600</v>
      </c>
      <c r="S28" s="39"/>
      <c r="T28" s="39"/>
      <c r="U28" s="39">
        <v>129600</v>
      </c>
    </row>
    <row r="29" spans="2:21" x14ac:dyDescent="0.25">
      <c r="P29" s="31" t="s">
        <v>16</v>
      </c>
      <c r="Q29" s="39"/>
      <c r="R29" s="39"/>
      <c r="S29" s="39">
        <v>63360</v>
      </c>
      <c r="T29" s="39"/>
      <c r="U29" s="39">
        <v>63360</v>
      </c>
    </row>
    <row r="30" spans="2:21" x14ac:dyDescent="0.25">
      <c r="P30" s="31" t="s">
        <v>14</v>
      </c>
      <c r="Q30" s="39"/>
      <c r="R30" s="39"/>
      <c r="S30" s="39">
        <v>51840</v>
      </c>
      <c r="T30" s="39"/>
      <c r="U30" s="39">
        <v>51840</v>
      </c>
    </row>
    <row r="31" spans="2:21" x14ac:dyDescent="0.25">
      <c r="P31" s="31" t="s">
        <v>13</v>
      </c>
      <c r="Q31" s="39"/>
      <c r="R31" s="39"/>
      <c r="S31" s="39"/>
      <c r="T31" s="39">
        <v>79200</v>
      </c>
      <c r="U31" s="39">
        <v>79200</v>
      </c>
    </row>
    <row r="32" spans="2:21" x14ac:dyDescent="0.25">
      <c r="P32" s="31" t="s">
        <v>87</v>
      </c>
      <c r="Q32" s="39">
        <v>123840</v>
      </c>
      <c r="R32" s="39">
        <v>315360</v>
      </c>
      <c r="S32" s="39">
        <v>115200</v>
      </c>
      <c r="T32" s="39">
        <v>288000</v>
      </c>
      <c r="U32" s="39">
        <v>842400</v>
      </c>
    </row>
    <row r="34" spans="2:9" x14ac:dyDescent="0.25">
      <c r="B34" s="30" t="s">
        <v>88</v>
      </c>
      <c r="C34" t="s">
        <v>78</v>
      </c>
    </row>
    <row r="35" spans="2:9" ht="12.6" thickBot="1" x14ac:dyDescent="0.3">
      <c r="B35" s="31" t="s">
        <v>8</v>
      </c>
      <c r="C35" s="39">
        <v>210600</v>
      </c>
      <c r="I35" s="33" t="s">
        <v>77</v>
      </c>
    </row>
    <row r="36" spans="2:9" x14ac:dyDescent="0.25">
      <c r="B36" s="31" t="s">
        <v>9</v>
      </c>
      <c r="C36" s="39">
        <v>83160</v>
      </c>
      <c r="I36" s="32">
        <v>0.5</v>
      </c>
    </row>
    <row r="37" spans="2:9" x14ac:dyDescent="0.25">
      <c r="B37" s="31" t="s">
        <v>11</v>
      </c>
      <c r="C37" s="39">
        <v>81000</v>
      </c>
      <c r="I37" s="32">
        <v>0.75</v>
      </c>
    </row>
    <row r="38" spans="2:9" x14ac:dyDescent="0.25">
      <c r="B38" s="31" t="s">
        <v>10</v>
      </c>
      <c r="C38" s="39">
        <v>257040</v>
      </c>
      <c r="I38" s="32">
        <v>0.85</v>
      </c>
    </row>
    <row r="39" spans="2:9" x14ac:dyDescent="0.25">
      <c r="B39" s="31" t="s">
        <v>87</v>
      </c>
      <c r="C39" s="39">
        <v>631800</v>
      </c>
      <c r="I39" s="32">
        <v>1</v>
      </c>
    </row>
  </sheetData>
  <pageMargins left="0.7" right="0.7" top="0.75" bottom="0.75" header="0.3" footer="0.3"/>
  <pageSetup paperSize="9" orientation="portrait" horizontalDpi="300" verticalDpi="300" r:id="rId8"/>
  <tableParts count="1">
    <tablePart r:id="rId9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_rels/item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.xml"/></Relationships>
</file>

<file path=customXml/_rels/item2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6.xml"/></Relationships>
</file>

<file path=customXml/_rels/item2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7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24.xml>�� 
</file>

<file path=customXml/item25.xml>�� 
</file>

<file path=customXml/item26.xml>�� 
</file>

<file path=customXml/item27.xml>�� 
</file>

<file path=customXml/itemProps1.xml><?xml version="1.0" encoding="utf-8"?>
<ds:datastoreItem xmlns:ds="http://schemas.openxmlformats.org/officeDocument/2006/customXml" ds:itemID="{729B4E53-92A5-4E95-953C-15E915B1EECD}">
  <ds:schemaRefs/>
</ds:datastoreItem>
</file>

<file path=customXml/itemProps2.xml><?xml version="1.0" encoding="utf-8"?>
<ds:datastoreItem xmlns:ds="http://schemas.openxmlformats.org/officeDocument/2006/customXml" ds:itemID="{4FC7ADD9-9308-46F6-9434-27B9673EE8FF}">
  <ds:schemaRefs/>
</ds:datastoreItem>
</file>

<file path=customXml/itemProps3.xml><?xml version="1.0" encoding="utf-8"?>
<ds:datastoreItem xmlns:ds="http://schemas.openxmlformats.org/officeDocument/2006/customXml" ds:itemID="{E4238BC0-37E4-4081-BC0A-A96672B32FDB}">
  <ds:schemaRefs/>
</ds:datastoreItem>
</file>

<file path=customXml/itemProps4.xml><?xml version="1.0" encoding="utf-8"?>
<ds:datastoreItem xmlns:ds="http://schemas.openxmlformats.org/officeDocument/2006/customXml" ds:itemID="{EC599F71-D503-4872-A451-B0FF08852677}">
  <ds:schemaRefs/>
</ds:datastoreItem>
</file>

<file path=customXml/itemProps5.xml><?xml version="1.0" encoding="utf-8"?>
<ds:datastoreItem xmlns:ds="http://schemas.openxmlformats.org/officeDocument/2006/customXml" ds:itemID="{793D368D-43B5-4312-A240-279628467AF8}">
  <ds:schemaRefs/>
</ds:datastoreItem>
</file>

<file path=customXml/itemProps6.xml><?xml version="1.0" encoding="utf-8"?>
<ds:datastoreItem xmlns:ds="http://schemas.openxmlformats.org/officeDocument/2006/customXml" ds:itemID="{81D9C8EA-ADFD-4343-B893-64AF7EB8A927}">
  <ds:schemaRefs/>
</ds:datastoreItem>
</file>

<file path=customXml/itemProps7.xml><?xml version="1.0" encoding="utf-8"?>
<ds:datastoreItem xmlns:ds="http://schemas.openxmlformats.org/officeDocument/2006/customXml" ds:itemID="{478C3661-8F40-49C3-A482-2831527662DD}">
  <ds:schemaRefs/>
</ds:datastoreItem>
</file>

<file path=customXml/itemProps8.xml><?xml version="1.0" encoding="utf-8"?>
<ds:datastoreItem xmlns:ds="http://schemas.openxmlformats.org/officeDocument/2006/customXml" ds:itemID="{BF738A6D-0E9B-48A4-BEC2-FA45A5530E48}">
  <ds:schemaRefs/>
</ds:datastoreItem>
</file>

<file path=customXml/itemProps9.xml><?xml version="1.0" encoding="utf-8"?>
<ds:datastoreItem xmlns:ds="http://schemas.openxmlformats.org/officeDocument/2006/customXml" ds:itemID="{C9224119-9818-43B5-86AC-49789E17D3F3}">
  <ds:schemaRefs/>
</ds:datastoreItem>
</file>

<file path=customXml/itemProps10.xml><?xml version="1.0" encoding="utf-8"?>
<ds:datastoreItem xmlns:ds="http://schemas.openxmlformats.org/officeDocument/2006/customXml" ds:itemID="{8684B41D-746D-4764-BF06-5AFE42517578}">
  <ds:schemaRefs/>
</ds:datastoreItem>
</file>

<file path=customXml/itemProps11.xml><?xml version="1.0" encoding="utf-8"?>
<ds:datastoreItem xmlns:ds="http://schemas.openxmlformats.org/officeDocument/2006/customXml" ds:itemID="{8951FBA4-C1E3-4E92-A5A9-0DE9209B87A1}">
  <ds:schemaRefs/>
</ds:datastoreItem>
</file>

<file path=customXml/itemProps12.xml><?xml version="1.0" encoding="utf-8"?>
<ds:datastoreItem xmlns:ds="http://schemas.openxmlformats.org/officeDocument/2006/customXml" ds:itemID="{07D31D0C-FF42-45F2-A159-880383B30947}">
  <ds:schemaRefs/>
</ds:datastoreItem>
</file>

<file path=customXml/itemProps13.xml><?xml version="1.0" encoding="utf-8"?>
<ds:datastoreItem xmlns:ds="http://schemas.openxmlformats.org/officeDocument/2006/customXml" ds:itemID="{7E2E509D-4E50-465C-92C9-E18CCABB0FB9}">
  <ds:schemaRefs/>
</ds:datastoreItem>
</file>

<file path=customXml/itemProps14.xml><?xml version="1.0" encoding="utf-8"?>
<ds:datastoreItem xmlns:ds="http://schemas.openxmlformats.org/officeDocument/2006/customXml" ds:itemID="{DA705C5A-079E-4CE3-A96D-5AAF38EC5AB5}">
  <ds:schemaRefs/>
</ds:datastoreItem>
</file>

<file path=customXml/itemProps15.xml><?xml version="1.0" encoding="utf-8"?>
<ds:datastoreItem xmlns:ds="http://schemas.openxmlformats.org/officeDocument/2006/customXml" ds:itemID="{4789F571-03D8-4079-995C-D68CFCA0B9E9}">
  <ds:schemaRefs/>
</ds:datastoreItem>
</file>

<file path=customXml/itemProps16.xml><?xml version="1.0" encoding="utf-8"?>
<ds:datastoreItem xmlns:ds="http://schemas.openxmlformats.org/officeDocument/2006/customXml" ds:itemID="{64DF05A1-1812-4A72-BA96-EACC4D886E99}">
  <ds:schemaRefs/>
</ds:datastoreItem>
</file>

<file path=customXml/itemProps17.xml><?xml version="1.0" encoding="utf-8"?>
<ds:datastoreItem xmlns:ds="http://schemas.openxmlformats.org/officeDocument/2006/customXml" ds:itemID="{2EDD5DB8-2482-490F-A71A-DE5B8CF76984}">
  <ds:schemaRefs/>
</ds:datastoreItem>
</file>

<file path=customXml/itemProps18.xml><?xml version="1.0" encoding="utf-8"?>
<ds:datastoreItem xmlns:ds="http://schemas.openxmlformats.org/officeDocument/2006/customXml" ds:itemID="{20A79988-7785-436B-A21C-4E61FBE0C3CF}">
  <ds:schemaRefs/>
</ds:datastoreItem>
</file>

<file path=customXml/itemProps19.xml><?xml version="1.0" encoding="utf-8"?>
<ds:datastoreItem xmlns:ds="http://schemas.openxmlformats.org/officeDocument/2006/customXml" ds:itemID="{E5701937-6741-4DED-8D47-B1934464CA4D}">
  <ds:schemaRefs/>
</ds:datastoreItem>
</file>

<file path=customXml/itemProps20.xml><?xml version="1.0" encoding="utf-8"?>
<ds:datastoreItem xmlns:ds="http://schemas.openxmlformats.org/officeDocument/2006/customXml" ds:itemID="{AB8991B9-89C9-41BA-947B-A9F0810FD3DA}">
  <ds:schemaRefs/>
</ds:datastoreItem>
</file>

<file path=customXml/itemProps21.xml><?xml version="1.0" encoding="utf-8"?>
<ds:datastoreItem xmlns:ds="http://schemas.openxmlformats.org/officeDocument/2006/customXml" ds:itemID="{51FBD1AE-BBF0-4813-9921-D64186AF7242}">
  <ds:schemaRefs/>
</ds:datastoreItem>
</file>

<file path=customXml/itemProps22.xml><?xml version="1.0" encoding="utf-8"?>
<ds:datastoreItem xmlns:ds="http://schemas.openxmlformats.org/officeDocument/2006/customXml" ds:itemID="{E1B41D9B-43A9-4DF2-BD72-8B3D6D1A1FF9}">
  <ds:schemaRefs/>
</ds:datastoreItem>
</file>

<file path=customXml/itemProps23.xml><?xml version="1.0" encoding="utf-8"?>
<ds:datastoreItem xmlns:ds="http://schemas.openxmlformats.org/officeDocument/2006/customXml" ds:itemID="{7F2A547E-E6D1-4875-8F17-CEA79BDCFFDE}">
  <ds:schemaRefs/>
</ds:datastoreItem>
</file>

<file path=customXml/itemProps24.xml><?xml version="1.0" encoding="utf-8"?>
<ds:datastoreItem xmlns:ds="http://schemas.openxmlformats.org/officeDocument/2006/customXml" ds:itemID="{8CC19D9C-6611-4B34-BDA0-A828F58A5CC2}">
  <ds:schemaRefs/>
</ds:datastoreItem>
</file>

<file path=customXml/itemProps25.xml><?xml version="1.0" encoding="utf-8"?>
<ds:datastoreItem xmlns:ds="http://schemas.openxmlformats.org/officeDocument/2006/customXml" ds:itemID="{A0E3E80B-FD51-46B3-B481-1C9EC412014A}">
  <ds:schemaRefs/>
</ds:datastoreItem>
</file>

<file path=customXml/itemProps26.xml><?xml version="1.0" encoding="utf-8"?>
<ds:datastoreItem xmlns:ds="http://schemas.openxmlformats.org/officeDocument/2006/customXml" ds:itemID="{EBED9031-1224-4938-9336-9694246BEAC9}">
  <ds:schemaRefs/>
</ds:datastoreItem>
</file>

<file path=customXml/itemProps27.xml><?xml version="1.0" encoding="utf-8"?>
<ds:datastoreItem xmlns:ds="http://schemas.openxmlformats.org/officeDocument/2006/customXml" ds:itemID="{EFD6E0E3-8D08-4A95-A74C-5EE1CBD9CE2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7</vt:i4>
      </vt:variant>
      <vt:variant>
        <vt:lpstr>Intervalli denominati</vt:lpstr>
      </vt:variant>
      <vt:variant>
        <vt:i4>3</vt:i4>
      </vt:variant>
    </vt:vector>
  </HeadingPairs>
  <TitlesOfParts>
    <vt:vector size="10" baseType="lpstr">
      <vt:lpstr>Home</vt:lpstr>
      <vt:lpstr>Report</vt:lpstr>
      <vt:lpstr>Ricerca</vt:lpstr>
      <vt:lpstr>Inserimento</vt:lpstr>
      <vt:lpstr>Corsi</vt:lpstr>
      <vt:lpstr>Docenti</vt:lpstr>
      <vt:lpstr>Sedi</vt:lpstr>
      <vt:lpstr>Report!Area_stampa</vt:lpstr>
      <vt:lpstr>Lista_Docenti</vt:lpstr>
      <vt:lpstr>Lista_Sedi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Mara Cuomo</dc:creator>
  <cp:lastModifiedBy>Mara Cuomo</cp:lastModifiedBy>
  <cp:lastPrinted>2023-03-31T16:58:34Z</cp:lastPrinted>
  <dcterms:created xsi:type="dcterms:W3CDTF">2023-03-28T20:10:23Z</dcterms:created>
  <dcterms:modified xsi:type="dcterms:W3CDTF">2023-03-31T17:00:07Z</dcterms:modified>
</cp:coreProperties>
</file>