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tables/table5.xml" ContentType="application/vnd.openxmlformats-officedocument.spreadsheetml.table+xml"/>
  <Override PartName="/xl/comments5.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bbgiu\Desktop\Federico\Corso Epicode\M1\D5\"/>
    </mc:Choice>
  </mc:AlternateContent>
  <xr:revisionPtr revIDLastSave="0" documentId="13_ncr:1_{6D5B30DD-22EE-4738-AB8D-CA4F3004E95C}" xr6:coauthVersionLast="47" xr6:coauthVersionMax="47" xr10:uidLastSave="{00000000-0000-0000-0000-000000000000}"/>
  <bookViews>
    <workbookView xWindow="-108" yWindow="-108" windowWidth="23256" windowHeight="12576" xr2:uid="{9E0FEA85-CE82-466E-BD79-0DD8AA759ECD}"/>
  </bookViews>
  <sheets>
    <sheet name="QUESTIONARIO" sheetId="1" r:id="rId1"/>
    <sheet name="COLLABORATORI" sheetId="2" r:id="rId2"/>
    <sheet name="UTENTI" sheetId="3" r:id="rId3"/>
    <sheet name="LIBRI" sheetId="4" r:id="rId4"/>
    <sheet name="PRESTITI" sheetId="6" r:id="rId5"/>
    <sheet name="CONSULTAZIONE" sheetId="7" r:id="rId6"/>
    <sheet name="GESTIONALE" sheetId="11" r:id="rId7"/>
    <sheet name="STATISTICHE DIPENDENTI" sheetId="8" r:id="rId8"/>
    <sheet name="STATISTICHE UTENTI" sheetId="12" r:id="rId9"/>
    <sheet name="FOGLIO TECNICO" sheetId="10" state="hidden" r:id="rId10"/>
  </sheets>
  <definedNames>
    <definedName name="_xlcn.WorksheetConnection_LIbreriaOK.xlsxLibri1" hidden="1">Libri[]</definedName>
    <definedName name="_xlcn.WorksheetConnection_LIbreriaOK.xlsxPrestiti1" hidden="1">Prestiti[]</definedName>
    <definedName name="Generi">'FOGLIO TECNICO'!$A$1:$A$9</definedName>
    <definedName name="Gestionale">CONSULTAZIONE!$A$1</definedName>
    <definedName name="Titolidisponibili">'FOGLIO TECNICO'!$D$1:$D$50</definedName>
  </definedNames>
  <calcPr calcId="191029"/>
  <fileRecoveryPr repairLoad="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Libri" name="Libri" connection="WorksheetConnection_LIbreriaOK.xlsx!Libri"/>
          <x15:modelTable id="Prestiti" name="Prestiti" connection="WorksheetConnection_LIbreriaOK.xlsx!Prestiti"/>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5" i="4" l="1"/>
  <c r="L3" i="4"/>
  <c r="L4" i="4"/>
  <c r="L5" i="4"/>
  <c r="L6" i="4"/>
  <c r="L7" i="4"/>
  <c r="L8" i="4"/>
  <c r="L9" i="4"/>
  <c r="L10" i="4"/>
  <c r="L11" i="4"/>
  <c r="L12" i="4"/>
  <c r="L13" i="4"/>
  <c r="L14" i="4"/>
  <c r="L15" i="4"/>
  <c r="L16" i="4"/>
  <c r="L17" i="4"/>
  <c r="L18" i="4"/>
  <c r="L19" i="4"/>
  <c r="L20" i="4"/>
  <c r="L21" i="4"/>
  <c r="L22" i="4"/>
  <c r="L23" i="4"/>
  <c r="L24" i="4"/>
  <c r="L2" i="4"/>
  <c r="M2" i="4"/>
  <c r="M3" i="4"/>
  <c r="M4" i="4"/>
  <c r="M5" i="4"/>
  <c r="M6" i="4"/>
  <c r="M7" i="4"/>
  <c r="M8" i="4"/>
  <c r="M9" i="4"/>
  <c r="M10" i="4"/>
  <c r="M11" i="4"/>
  <c r="M12" i="4"/>
  <c r="M13" i="4"/>
  <c r="M14" i="4"/>
  <c r="M15" i="4"/>
  <c r="M16" i="4"/>
  <c r="M17" i="4"/>
  <c r="M18" i="4"/>
  <c r="M19" i="4"/>
  <c r="M20" i="4"/>
  <c r="M21" i="4"/>
  <c r="M22" i="4"/>
  <c r="M23" i="4"/>
  <c r="M24" i="4"/>
  <c r="M25" i="4"/>
  <c r="D14" i="7"/>
  <c r="F5" i="11"/>
  <c r="H6" i="3"/>
  <c r="I31" i="6"/>
  <c r="I30" i="6" s="1"/>
  <c r="I29" i="6" s="1"/>
  <c r="I28" i="6" s="1"/>
  <c r="I27" i="6" s="1"/>
  <c r="I26" i="6" s="1"/>
  <c r="I25" i="6" s="1"/>
  <c r="I24" i="6" s="1"/>
  <c r="I23" i="6" s="1"/>
  <c r="I22" i="6" s="1"/>
  <c r="I21" i="6" s="1"/>
  <c r="I20" i="6" s="1"/>
  <c r="I19" i="6" s="1"/>
  <c r="I18" i="6" s="1"/>
  <c r="I17" i="6" s="1"/>
  <c r="I16" i="6" s="1"/>
  <c r="I15" i="6" s="1"/>
  <c r="I14" i="6" s="1"/>
  <c r="I13" i="6" s="1"/>
  <c r="I12" i="6" s="1"/>
  <c r="I11" i="6" s="1"/>
  <c r="I10" i="6" s="1"/>
  <c r="I9" i="6" s="1"/>
  <c r="I8" i="6" s="1"/>
  <c r="I7" i="6" s="1"/>
  <c r="I6" i="6" s="1"/>
  <c r="I5" i="6" s="1"/>
  <c r="I4" i="6" s="1"/>
  <c r="I3" i="6" s="1"/>
  <c r="I2" i="6" s="1"/>
  <c r="H7" i="3"/>
  <c r="H9" i="3"/>
  <c r="D7" i="8"/>
  <c r="D16" i="12"/>
  <c r="C16" i="12"/>
  <c r="D15" i="12"/>
  <c r="C15" i="12"/>
  <c r="D14" i="12"/>
  <c r="C14" i="12"/>
  <c r="D13" i="12"/>
  <c r="C13" i="12"/>
  <c r="D12" i="12"/>
  <c r="C12" i="12"/>
  <c r="D11" i="12"/>
  <c r="C11" i="12"/>
  <c r="D10" i="12"/>
  <c r="C10" i="12"/>
  <c r="D9" i="12"/>
  <c r="C9" i="12"/>
  <c r="D8" i="12"/>
  <c r="C8" i="12"/>
  <c r="D7" i="12"/>
  <c r="C7" i="12"/>
  <c r="D6" i="12"/>
  <c r="C6" i="12"/>
  <c r="D5" i="12"/>
  <c r="C5" i="12"/>
  <c r="D4" i="12"/>
  <c r="C4" i="12"/>
  <c r="D3" i="12"/>
  <c r="C3" i="12"/>
  <c r="C3" i="8"/>
  <c r="C12" i="8"/>
  <c r="D5" i="8"/>
  <c r="D6" i="8"/>
  <c r="D4" i="8"/>
  <c r="D3" i="8"/>
  <c r="C4" i="8"/>
  <c r="C5" i="8"/>
  <c r="C6" i="8"/>
  <c r="C7" i="8"/>
  <c r="C8" i="8"/>
  <c r="C9" i="8"/>
  <c r="C10" i="8"/>
  <c r="C11" i="8"/>
  <c r="A1" i="10" a="1"/>
  <c r="A1" i="10" s="1"/>
  <c r="H24" i="7"/>
  <c r="D4" i="7"/>
  <c r="L8" i="3"/>
  <c r="L2" i="3"/>
  <c r="L3" i="3"/>
  <c r="L4" i="3"/>
  <c r="L5" i="3"/>
  <c r="L6" i="3"/>
  <c r="L7" i="3"/>
  <c r="L9" i="3"/>
  <c r="L10" i="3"/>
  <c r="L11" i="3"/>
  <c r="L12" i="3"/>
  <c r="L13" i="3"/>
  <c r="L14" i="3"/>
  <c r="L15" i="3"/>
  <c r="K2" i="4"/>
  <c r="K3" i="4"/>
  <c r="K4" i="4"/>
  <c r="K5" i="4"/>
  <c r="K6" i="4"/>
  <c r="K7" i="4"/>
  <c r="K8" i="4"/>
  <c r="K9" i="4"/>
  <c r="K10" i="4"/>
  <c r="K11" i="4"/>
  <c r="K12" i="4"/>
  <c r="K14" i="4"/>
  <c r="K15" i="4"/>
  <c r="K16" i="4"/>
  <c r="K17" i="4"/>
  <c r="K18" i="4"/>
  <c r="K19" i="4"/>
  <c r="K20" i="4"/>
  <c r="K21" i="4"/>
  <c r="K22" i="4"/>
  <c r="K23" i="4"/>
  <c r="K24" i="4"/>
  <c r="K25" i="4"/>
  <c r="C2" i="6"/>
  <c r="C3"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H2" i="6"/>
  <c r="H3" i="3" s="1"/>
  <c r="H3" i="6"/>
  <c r="H11" i="3" s="1"/>
  <c r="H4" i="6"/>
  <c r="H12" i="3" s="1"/>
  <c r="H5" i="6"/>
  <c r="H14" i="3" s="1"/>
  <c r="H6" i="6"/>
  <c r="H7" i="6"/>
  <c r="H13" i="3" s="1"/>
  <c r="H8" i="6"/>
  <c r="J10" i="3" s="1"/>
  <c r="H9" i="6"/>
  <c r="H15" i="3" s="1"/>
  <c r="H10" i="6"/>
  <c r="H11" i="6"/>
  <c r="H12" i="6"/>
  <c r="H13" i="6"/>
  <c r="H14" i="6"/>
  <c r="H4" i="3" s="1"/>
  <c r="H15" i="6"/>
  <c r="H16" i="6"/>
  <c r="H5" i="3" s="1"/>
  <c r="H17" i="6"/>
  <c r="H18" i="6"/>
  <c r="H19" i="6"/>
  <c r="H20" i="6"/>
  <c r="H21" i="6"/>
  <c r="H22" i="6"/>
  <c r="H23" i="6"/>
  <c r="H24" i="6"/>
  <c r="H25" i="6"/>
  <c r="H26" i="6"/>
  <c r="H27" i="6"/>
  <c r="H28" i="6"/>
  <c r="H29" i="6"/>
  <c r="H30" i="6"/>
  <c r="H8" i="3" s="1"/>
  <c r="H31" i="6"/>
  <c r="K13" i="1"/>
  <c r="J13" i="1"/>
  <c r="H13" i="1"/>
  <c r="D13" i="1"/>
  <c r="E13" i="1"/>
  <c r="B13" i="1"/>
  <c r="D1" i="10" l="1" a="1"/>
  <c r="D1" i="10" s="1"/>
  <c r="F8" i="11"/>
  <c r="D16" i="7"/>
  <c r="D17" i="7"/>
  <c r="H10" i="3"/>
  <c r="G15" i="3"/>
  <c r="G13" i="3"/>
  <c r="G4" i="3"/>
  <c r="I4" i="3" s="1"/>
  <c r="G11" i="3"/>
  <c r="H2" i="3"/>
  <c r="G2" i="3" s="1"/>
  <c r="I2" i="3" s="1"/>
  <c r="F4" i="7"/>
  <c r="H4" i="7" s="1"/>
  <c r="D12" i="8"/>
  <c r="D11" i="8"/>
  <c r="D10" i="8"/>
  <c r="D9" i="8"/>
  <c r="D19" i="8" s="1" a="1"/>
  <c r="D19" i="8" s="1"/>
  <c r="D8" i="8"/>
  <c r="J6" i="3"/>
  <c r="K6" i="3" s="1"/>
  <c r="F15" i="11" s="1"/>
  <c r="J15" i="11" s="1"/>
  <c r="D21" i="12" a="1"/>
  <c r="D21" i="12" s="1"/>
  <c r="D24" i="12" a="1"/>
  <c r="D24" i="12" s="1"/>
  <c r="D23" i="12" a="1"/>
  <c r="D23" i="12" s="1"/>
  <c r="D26" i="12" a="1"/>
  <c r="D26" i="12" s="1"/>
  <c r="D22" i="12" a="1"/>
  <c r="D22" i="12" s="1"/>
  <c r="D25" i="12" a="1"/>
  <c r="D25" i="12" s="1"/>
  <c r="D20" i="12" a="1"/>
  <c r="D20" i="12" s="1"/>
  <c r="D20" i="8" a="1"/>
  <c r="D20" i="8" s="1"/>
  <c r="D18" i="8" a="1"/>
  <c r="D18" i="8" s="1"/>
  <c r="D24" i="7" a="1"/>
  <c r="D24" i="7" s="1"/>
  <c r="D23" i="7"/>
  <c r="J8" i="3"/>
  <c r="K8" i="3" s="1"/>
  <c r="J9" i="3"/>
  <c r="K9" i="3" s="1"/>
  <c r="J15" i="3"/>
  <c r="K15" i="3" s="1"/>
  <c r="J7" i="3"/>
  <c r="K7" i="3" s="1"/>
  <c r="J14" i="3"/>
  <c r="K14" i="3" s="1"/>
  <c r="J13" i="3"/>
  <c r="K13" i="3" s="1"/>
  <c r="J5" i="3"/>
  <c r="J12" i="3"/>
  <c r="K12" i="3" s="1"/>
  <c r="J4" i="3"/>
  <c r="J11" i="3"/>
  <c r="J3" i="3"/>
  <c r="J2" i="3"/>
  <c r="K2" i="3" s="1"/>
  <c r="G7" i="3"/>
  <c r="I7" i="3" s="1"/>
  <c r="G14" i="3"/>
  <c r="I14" i="3" s="1"/>
  <c r="G12" i="3"/>
  <c r="G9" i="3"/>
  <c r="I9" i="3" s="1"/>
  <c r="G8" i="3"/>
  <c r="I8" i="3" s="1"/>
  <c r="H5" i="11" s="1"/>
  <c r="G6" i="3"/>
  <c r="I13" i="1"/>
  <c r="C13" i="1"/>
  <c r="F13" i="1"/>
  <c r="G13" i="1"/>
  <c r="H3" i="7" l="1"/>
  <c r="F14" i="7"/>
  <c r="H13" i="7" s="1"/>
  <c r="H14" i="7" s="1"/>
  <c r="D16" i="8" a="1"/>
  <c r="D16" i="8" s="1"/>
  <c r="D17" i="8" a="1"/>
  <c r="D17" i="8" s="1"/>
  <c r="K11" i="3"/>
  <c r="K10" i="3"/>
  <c r="K3" i="3"/>
  <c r="K5" i="3"/>
  <c r="G10" i="3"/>
  <c r="I10" i="3" s="1"/>
  <c r="G3" i="3"/>
  <c r="I3" i="3" s="1"/>
  <c r="G5" i="3"/>
  <c r="I5" i="3" s="1"/>
  <c r="I13" i="3"/>
  <c r="I6" i="3"/>
  <c r="K4" i="3"/>
  <c r="I15" i="3"/>
  <c r="I12" i="3"/>
  <c r="I11" i="3"/>
  <c r="J14"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Giulio Carron</author>
  </authors>
  <commentList>
    <comment ref="B1" authorId="0" shapeId="0" xr:uid="{6126F3AA-8D37-4BFD-ADB8-1ACAE0C921E3}">
      <text>
        <r>
          <rPr>
            <b/>
            <sz val="9"/>
            <color indexed="81"/>
            <rFont val="Tahoma"/>
            <charset val="1"/>
          </rPr>
          <t>In ogni turno devono essere presenti almeno 2 dipendenti per piano.</t>
        </r>
        <r>
          <rPr>
            <sz val="9"/>
            <color indexed="81"/>
            <rFont val="Tahoma"/>
            <charset val="1"/>
          </rPr>
          <t xml:space="preserve">
</t>
        </r>
      </text>
    </comment>
    <comment ref="C1" authorId="0" shapeId="0" xr:uid="{D7A18DC2-7E8D-4542-AD24-72387398F520}">
      <text>
        <r>
          <rPr>
            <b/>
            <sz val="9"/>
            <color indexed="81"/>
            <rFont val="Tahoma"/>
            <charset val="1"/>
          </rPr>
          <t>Ogni dipendente prende in carico la gestione dei prestiti al proprio piano.</t>
        </r>
        <r>
          <rPr>
            <sz val="9"/>
            <color indexed="81"/>
            <rFont val="Tahoma"/>
            <charset val="1"/>
          </rPr>
          <t xml:space="preserve">
</t>
        </r>
      </text>
    </comment>
    <comment ref="D1" authorId="0" shapeId="0" xr:uid="{EFB42B1D-1220-4C9C-9F31-B3944CA49261}">
      <text>
        <r>
          <rPr>
            <b/>
            <sz val="9"/>
            <color indexed="81"/>
            <rFont val="Tahoma"/>
            <charset val="1"/>
          </rPr>
          <t>Due terminali vanno al primo piano, uno dedicato alla ricerca e uno alla finalizzazione del prestito o della restituzione; un terminale va al secondo piano.</t>
        </r>
      </text>
    </comment>
    <comment ref="E1" authorId="0" shapeId="0" xr:uid="{E65AC505-C522-4732-AC34-68556907859B}">
      <text>
        <r>
          <rPr>
            <b/>
            <sz val="9"/>
            <color indexed="81"/>
            <rFont val="Tahoma"/>
            <charset val="1"/>
          </rPr>
          <t>I libri vanno organizzati per etichette, cosicché alcuni dipendenti a diversi gradi di mobilità ridotta sappiano se possono evadere l’ordine autonomamente.</t>
        </r>
        <r>
          <rPr>
            <sz val="9"/>
            <color indexed="81"/>
            <rFont val="Tahoma"/>
            <charset val="1"/>
          </rPr>
          <t xml:space="preserve">
</t>
        </r>
      </text>
    </comment>
    <comment ref="F1" authorId="0" shapeId="0" xr:uid="{A45AB626-BF2A-4E62-91B3-8F7731998873}">
      <text>
        <r>
          <rPr>
            <b/>
            <sz val="9"/>
            <color indexed="81"/>
            <rFont val="Tahoma"/>
            <charset val="1"/>
          </rPr>
          <t>I libri restituiti vanno depositati in magazzino e riassegnati negli scaffali ogni 4 ore.</t>
        </r>
      </text>
    </comment>
    <comment ref="G1" authorId="0" shapeId="0" xr:uid="{1286A66D-249F-4DD3-9836-D9C3B95B2EEF}">
      <text>
        <r>
          <rPr>
            <b/>
            <sz val="9"/>
            <color indexed="81"/>
            <rFont val="Tahoma"/>
            <charset val="1"/>
          </rPr>
          <t>I libri vanno restituiti entro 30gg.</t>
        </r>
      </text>
    </comment>
    <comment ref="H1" authorId="0" shapeId="0" xr:uid="{1AC5B131-1DAF-414D-843D-14BBED56BDF3}">
      <text>
        <r>
          <rPr>
            <b/>
            <sz val="9"/>
            <color indexed="81"/>
            <rFont val="Tahoma"/>
            <charset val="1"/>
          </rPr>
          <t>Non sono possibili prestiti consecutivi dello stesso libro.</t>
        </r>
        <r>
          <rPr>
            <sz val="9"/>
            <color indexed="81"/>
            <rFont val="Tahoma"/>
            <charset val="1"/>
          </rPr>
          <t xml:space="preserve">
</t>
        </r>
      </text>
    </comment>
    <comment ref="I1" authorId="0" shapeId="0" xr:uid="{7CE4157F-5453-422D-B727-6ACFB88BE4E4}">
      <text>
        <r>
          <rPr>
            <b/>
            <sz val="9"/>
            <color indexed="81"/>
            <rFont val="Tahoma"/>
            <charset val="1"/>
          </rPr>
          <t>Nel caso di ritardo fino a 3gg, si applica una multa di 1 euro. A seguire la multa aumenta di 1 euro per ogni giorno di ritardo e sopra i 30gg viene inibita la possibilità di accedere a nuovi prestiti per 60gg. La multa si paga alla restituzione.</t>
        </r>
        <r>
          <rPr>
            <sz val="9"/>
            <color indexed="81"/>
            <rFont val="Tahoma"/>
            <charset val="1"/>
          </rPr>
          <t xml:space="preserve">
</t>
        </r>
      </text>
    </comment>
    <comment ref="J1" authorId="0" shapeId="0" xr:uid="{A1E2192F-5BE8-4122-8C1F-F8DF5F4883EC}">
      <text>
        <r>
          <rPr>
            <b/>
            <sz val="9"/>
            <color indexed="81"/>
            <rFont val="Tahoma"/>
            <charset val="1"/>
          </rPr>
          <t>Il sistema deve archiviare le identità di chi ha gestito il prestito e la restituzione.</t>
        </r>
        <r>
          <rPr>
            <sz val="9"/>
            <color indexed="81"/>
            <rFont val="Tahoma"/>
            <charset val="1"/>
          </rPr>
          <t xml:space="preserve">
</t>
        </r>
      </text>
    </comment>
    <comment ref="K1" authorId="0" shapeId="0" xr:uid="{1D842923-F6B8-4E8E-A9BD-E7B9FBD43363}">
      <text>
        <r>
          <rPr>
            <b/>
            <sz val="9"/>
            <color indexed="81"/>
            <rFont val="Tahoma"/>
            <charset val="1"/>
          </rPr>
          <t>Si deve saper distinguere se un libro è smarrito, distrutto, in magazzino o nel circuito di prestito interbibliotecario (in uscita o in entrata).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Giulio Carron</author>
  </authors>
  <commentList>
    <comment ref="B1" authorId="0" shapeId="0" xr:uid="{5354CB5B-F322-463C-9FEC-87195B61A0CC}">
      <text>
        <r>
          <rPr>
            <b/>
            <sz val="9"/>
            <color indexed="81"/>
            <rFont val="Tahoma"/>
            <family val="2"/>
          </rPr>
          <t>0: DIRETTORE
1: FULL TIME
2: PART TIME</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Giulio Carron</author>
  </authors>
  <commentList>
    <comment ref="E1" authorId="0" shapeId="0" xr:uid="{7A2F76B7-8622-47F9-B1E6-1E29F47D7D85}">
      <text>
        <r>
          <rPr>
            <sz val="9"/>
            <color indexed="81"/>
            <rFont val="Tahoma"/>
            <family val="2"/>
          </rPr>
          <t xml:space="preserve">La biblioteca è riservata ai residenti di Roma Capitale.
</t>
        </r>
      </text>
    </comment>
    <comment ref="G1" authorId="0" shapeId="0" xr:uid="{C69A08A9-7D76-45FA-99BD-33961DB3D136}">
      <text>
        <r>
          <rPr>
            <b/>
            <sz val="9"/>
            <color indexed="81"/>
            <rFont val="Tahoma"/>
            <family val="2"/>
          </rPr>
          <t>0: NO
1: SÌ</t>
        </r>
        <r>
          <rPr>
            <sz val="9"/>
            <color indexed="81"/>
            <rFont val="Tahoma"/>
            <family val="2"/>
          </rPr>
          <t xml:space="preserve">
</t>
        </r>
      </text>
    </comment>
    <comment ref="K1" authorId="0" shapeId="0" xr:uid="{F8F64A84-7E01-49D2-B7F8-E95513F8C850}">
      <text>
        <r>
          <rPr>
            <b/>
            <sz val="9"/>
            <color indexed="81"/>
            <rFont val="Tahoma"/>
            <family val="2"/>
          </rPr>
          <t>0: NO
1: SÌ</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Giulio Carron</author>
  </authors>
  <commentList>
    <comment ref="H1" authorId="0" shapeId="0" xr:uid="{6D06C958-D766-48DE-B5C0-6744EC7F06B8}">
      <text>
        <r>
          <rPr>
            <b/>
            <sz val="9"/>
            <color indexed="81"/>
            <rFont val="Tahoma"/>
            <family val="2"/>
          </rPr>
          <t xml:space="preserve">R: Ristampa
</t>
        </r>
        <r>
          <rPr>
            <sz val="9"/>
            <color indexed="81"/>
            <rFont val="Tahoma"/>
            <family val="2"/>
          </rPr>
          <t xml:space="preserve">
</t>
        </r>
      </text>
    </comment>
    <comment ref="J1" authorId="0" shapeId="0" xr:uid="{1F0962E5-9D1B-4EAB-BBC1-130BB11B3E15}">
      <text>
        <r>
          <rPr>
            <b/>
            <sz val="9"/>
            <color indexed="81"/>
            <rFont val="Tahoma"/>
            <family val="2"/>
          </rPr>
          <t>Chiave primaria</t>
        </r>
        <r>
          <rPr>
            <sz val="9"/>
            <color indexed="81"/>
            <rFont val="Tahoma"/>
            <family val="2"/>
          </rPr>
          <t xml:space="preserve">
</t>
        </r>
      </text>
    </comment>
    <comment ref="K1" authorId="0" shapeId="0" xr:uid="{E79484AA-D71C-43BB-B124-D87B13F16703}">
      <text>
        <r>
          <rPr>
            <b/>
            <sz val="9"/>
            <color indexed="81"/>
            <rFont val="Tahoma"/>
            <family val="2"/>
          </rPr>
          <t>P-xxxxx : in prestito a utente xxxxx
P-D: disponibile al prestito
S: smarrito o distrutto
M: in magazzino
P-I: nel circuito di prestito interbibliotecario</t>
        </r>
        <r>
          <rPr>
            <sz val="9"/>
            <color indexed="81"/>
            <rFont val="Tahoma"/>
            <family val="2"/>
          </rPr>
          <t xml:space="preserve">
</t>
        </r>
      </text>
    </comment>
    <comment ref="L1" authorId="0" shapeId="0" xr:uid="{EFC862B7-EF78-4EFB-A959-410A96B89973}">
      <text>
        <r>
          <rPr>
            <b/>
            <sz val="9"/>
            <color indexed="81"/>
            <rFont val="Tahoma"/>
            <family val="2"/>
          </rPr>
          <t>Disponibilità del prestito in giorni. Se è 0, il libro è in prestito oppure smarrito.</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Giulio Carron</author>
  </authors>
  <commentList>
    <comment ref="B1" authorId="0" shapeId="0" xr:uid="{31EB04B2-16BC-4B8F-B610-87EC86D7D131}">
      <text>
        <r>
          <rPr>
            <sz val="9"/>
            <color indexed="81"/>
            <rFont val="Tahoma"/>
            <family val="2"/>
          </rPr>
          <t xml:space="preserve">ID libro è il codice postazione
</t>
        </r>
      </text>
    </comment>
    <comment ref="I1" authorId="0" shapeId="0" xr:uid="{CCB1AA14-7EE9-4DAA-B40E-FC88A72D7172}">
      <text>
        <r>
          <rPr>
            <b/>
            <sz val="9"/>
            <color indexed="81"/>
            <rFont val="Tahoma"/>
            <family val="2"/>
          </rPr>
          <t>Chiave primaria</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457A718-5529-4415-A5CB-57392B53425C}"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D58EB41-57A0-4442-8FCE-5768528F77ED}" name="WorksheetConnection_LIbreriaOK.xlsx!Libri" type="102" refreshedVersion="7" minRefreshableVersion="5">
    <extLst>
      <ext xmlns:x15="http://schemas.microsoft.com/office/spreadsheetml/2010/11/main" uri="{DE250136-89BD-433C-8126-D09CA5730AF9}">
        <x15:connection id="Libri">
          <x15:rangePr sourceName="_xlcn.WorksheetConnection_LIbreriaOK.xlsxLibri1"/>
        </x15:connection>
      </ext>
    </extLst>
  </connection>
  <connection id="3" xr16:uid="{EDBF7E03-531B-429A-9B39-204445DAD5DE}" name="WorksheetConnection_LIbreriaOK.xlsx!Prestiti" type="102" refreshedVersion="7" minRefreshableVersion="5">
    <extLst>
      <ext xmlns:x15="http://schemas.microsoft.com/office/spreadsheetml/2010/11/main" uri="{DE250136-89BD-433C-8126-D09CA5730AF9}">
        <x15:connection id="Prestiti">
          <x15:rangePr sourceName="_xlcn.WorksheetConnection_LIbreriaOK.xlsxPrestiti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<sst xmlns="http://schemas.openxmlformats.org/spreadsheetml/2006/main" count="405" uniqueCount="281">
  <si>
    <t>ID lavoratore</t>
  </si>
  <si>
    <t>Quesito 1</t>
  </si>
  <si>
    <t>Quesito 2</t>
  </si>
  <si>
    <t>Quesito 3</t>
  </si>
  <si>
    <t>Quesito 4</t>
  </si>
  <si>
    <t>Quesito 5</t>
  </si>
  <si>
    <t>Quesito 6</t>
  </si>
  <si>
    <t>Quesito 7</t>
  </si>
  <si>
    <t>Quesito 8</t>
  </si>
  <si>
    <t>Quesito 9</t>
  </si>
  <si>
    <t>Quesito 10</t>
  </si>
  <si>
    <t>RISPOSTA MEDIA</t>
  </si>
  <si>
    <t>Inquadramento</t>
  </si>
  <si>
    <t>Nome</t>
  </si>
  <si>
    <t>Cognome</t>
  </si>
  <si>
    <t>Data di nascita</t>
  </si>
  <si>
    <t>Luogo di nascita</t>
  </si>
  <si>
    <t>Cittadinanza</t>
  </si>
  <si>
    <t>Telefono</t>
  </si>
  <si>
    <t>Celestino</t>
  </si>
  <si>
    <t>Simonetti</t>
  </si>
  <si>
    <t>Arturo</t>
  </si>
  <si>
    <t>Falangi</t>
  </si>
  <si>
    <t>Simonetta</t>
  </si>
  <si>
    <t>De Gregori</t>
  </si>
  <si>
    <t>Alvise</t>
  </si>
  <si>
    <t>Pretto</t>
  </si>
  <si>
    <t>Giancarla</t>
  </si>
  <si>
    <t>Simeoni</t>
  </si>
  <si>
    <t>Danilo</t>
  </si>
  <si>
    <t>Dinale</t>
  </si>
  <si>
    <t>Paola</t>
  </si>
  <si>
    <t>Placido</t>
  </si>
  <si>
    <t>Valsecchi</t>
  </si>
  <si>
    <t>Lundo</t>
  </si>
  <si>
    <t>Valeri</t>
  </si>
  <si>
    <t>Erika</t>
  </si>
  <si>
    <t>Barlenghi</t>
  </si>
  <si>
    <t>Roma</t>
  </si>
  <si>
    <t>Anzio</t>
  </si>
  <si>
    <t>Catania</t>
  </si>
  <si>
    <t>Cernusco sul Naviglio</t>
  </si>
  <si>
    <t>Latina</t>
  </si>
  <si>
    <t>San Giovanni Lupatoto</t>
  </si>
  <si>
    <t>Accra</t>
  </si>
  <si>
    <t>Ghanese</t>
  </si>
  <si>
    <t>Afua</t>
  </si>
  <si>
    <t>Owusu</t>
  </si>
  <si>
    <t>Italiana</t>
  </si>
  <si>
    <t>Città di residenza</t>
  </si>
  <si>
    <t>Borgo Valsugana</t>
  </si>
  <si>
    <t>Corvetta Esposito</t>
  </si>
  <si>
    <t>Battipaglia</t>
  </si>
  <si>
    <t>Ventimiglia</t>
  </si>
  <si>
    <t>Indirizzo</t>
  </si>
  <si>
    <t>Via Asiago, 10</t>
  </si>
  <si>
    <t>Via Ostriana, 4</t>
  </si>
  <si>
    <t>Via del Rotolo, 7</t>
  </si>
  <si>
    <t>Via Ardeatina, 26</t>
  </si>
  <si>
    <t>Via Leccosa, 4</t>
  </si>
  <si>
    <t>Via Salaria, 118</t>
  </si>
  <si>
    <t>Via Caffaro, 31</t>
  </si>
  <si>
    <t>Via del Serafico, 99</t>
  </si>
  <si>
    <t>Largo Preneste, 30</t>
  </si>
  <si>
    <t>Viale Libia, 222</t>
  </si>
  <si>
    <t>Via Tor de' Schiavi, 200</t>
  </si>
  <si>
    <t>Numero Tessera</t>
  </si>
  <si>
    <t>Indirizzo di residenza</t>
  </si>
  <si>
    <t>Stato di mora</t>
  </si>
  <si>
    <t>Giorni di mora</t>
  </si>
  <si>
    <t>Multa maturata</t>
  </si>
  <si>
    <t>Giorni di inibizione</t>
  </si>
  <si>
    <t>Ultimo prestito</t>
  </si>
  <si>
    <t>Germana</t>
  </si>
  <si>
    <t>Pesci</t>
  </si>
  <si>
    <t>Severo</t>
  </si>
  <si>
    <t>Bazzagli</t>
  </si>
  <si>
    <t>Gustavo</t>
  </si>
  <si>
    <t>Rinaldi</t>
  </si>
  <si>
    <t>Antonietta</t>
  </si>
  <si>
    <t>Rapace</t>
  </si>
  <si>
    <t>Marta</t>
  </si>
  <si>
    <t>de Rondi</t>
  </si>
  <si>
    <t>Flavio</t>
  </si>
  <si>
    <t>Cornello</t>
  </si>
  <si>
    <t>Saverio</t>
  </si>
  <si>
    <t>Martani</t>
  </si>
  <si>
    <t>Greta</t>
  </si>
  <si>
    <t>Albenghi</t>
  </si>
  <si>
    <t>Laura</t>
  </si>
  <si>
    <t>Manca</t>
  </si>
  <si>
    <t>Gerace</t>
  </si>
  <si>
    <t>Alberto</t>
  </si>
  <si>
    <t>Simoni</t>
  </si>
  <si>
    <t>Alice</t>
  </si>
  <si>
    <t>Palumbo</t>
  </si>
  <si>
    <t>Vittorio</t>
  </si>
  <si>
    <t>Saldelli</t>
  </si>
  <si>
    <t>Maria</t>
  </si>
  <si>
    <t>d'Hort</t>
  </si>
  <si>
    <t xml:space="preserve"> </t>
  </si>
  <si>
    <t>Via Cisternino,1</t>
  </si>
  <si>
    <t>Via della Cisterna, 21</t>
  </si>
  <si>
    <t>Piazza del Collegio Romano, 2</t>
  </si>
  <si>
    <t>Via della Scrofa, 40</t>
  </si>
  <si>
    <t>Via Daniello Bartoli, 14</t>
  </si>
  <si>
    <t>Via degli Estensi, 113</t>
  </si>
  <si>
    <t>Via Torquato Taramelli, 7</t>
  </si>
  <si>
    <t>Via Flaminia, 639</t>
  </si>
  <si>
    <t>Via Matteo Tondi, 36</t>
  </si>
  <si>
    <t>Via Mariano da Sarno, 12</t>
  </si>
  <si>
    <t>Via Etruria, 48</t>
  </si>
  <si>
    <t>Via Terenzio, 11</t>
  </si>
  <si>
    <t>Via degli Stefaneschi, 10</t>
  </si>
  <si>
    <t>Viale Regina Margherita, 185</t>
  </si>
  <si>
    <t>Idoneità al prestito</t>
  </si>
  <si>
    <t>Titolo</t>
  </si>
  <si>
    <t>Autore</t>
  </si>
  <si>
    <t>Genere</t>
  </si>
  <si>
    <t>Casa editrice</t>
  </si>
  <si>
    <t>Anno edizione</t>
  </si>
  <si>
    <t>Posizione</t>
  </si>
  <si>
    <t>Stato</t>
  </si>
  <si>
    <t>Pagine</t>
  </si>
  <si>
    <t>Disponibile per</t>
  </si>
  <si>
    <t>Lingua</t>
  </si>
  <si>
    <t>Samuel Beckett</t>
  </si>
  <si>
    <t>Italiano</t>
  </si>
  <si>
    <t>Einaudi</t>
  </si>
  <si>
    <t>Opera teatrale</t>
  </si>
  <si>
    <t>Finale di partita</t>
  </si>
  <si>
    <t>La paura ferisce come un coltello arrugginito</t>
  </si>
  <si>
    <t>Nottetempo</t>
  </si>
  <si>
    <t>Memoir</t>
  </si>
  <si>
    <t>Giulia Scomazzon</t>
  </si>
  <si>
    <t>Godfrey Harold Hardy</t>
  </si>
  <si>
    <t>Inglese</t>
  </si>
  <si>
    <t>Saggio</t>
  </si>
  <si>
    <t>A Mathematician's apology</t>
  </si>
  <si>
    <t>Canto Classics</t>
  </si>
  <si>
    <t>Cambridge University Press</t>
  </si>
  <si>
    <t>Mandragola</t>
  </si>
  <si>
    <t>Niccolò Macchiavelli</t>
  </si>
  <si>
    <t>Mondadori</t>
  </si>
  <si>
    <t>Il principe</t>
  </si>
  <si>
    <t>Canti</t>
  </si>
  <si>
    <t>Giacomo Leopardi</t>
  </si>
  <si>
    <t>Poesia</t>
  </si>
  <si>
    <t>William Shakespeare</t>
  </si>
  <si>
    <t>Hamlet</t>
  </si>
  <si>
    <t>Feltrinelli</t>
  </si>
  <si>
    <t>Amleto</t>
  </si>
  <si>
    <t>Collana</t>
  </si>
  <si>
    <t>Oscar Classici</t>
  </si>
  <si>
    <t>Classics</t>
  </si>
  <si>
    <t>Penguin</t>
  </si>
  <si>
    <t>Collezione di teatro</t>
  </si>
  <si>
    <t>Tascabili Classici</t>
  </si>
  <si>
    <t>Universale Economica</t>
  </si>
  <si>
    <t>Vita di Galileo</t>
  </si>
  <si>
    <t>Bertolt Brecht</t>
  </si>
  <si>
    <t>Edizione</t>
  </si>
  <si>
    <t>Rizzoli</t>
  </si>
  <si>
    <t>R</t>
  </si>
  <si>
    <t>Dieci piccoli indiani. E non rimase nessuno.</t>
  </si>
  <si>
    <t>Agatha Christie</t>
  </si>
  <si>
    <t>Giallo</t>
  </si>
  <si>
    <t>Oscar moderni. Cult</t>
  </si>
  <si>
    <t>Oscar absolute</t>
  </si>
  <si>
    <t>Vuoi star zitta, per favore?</t>
  </si>
  <si>
    <t>Raymond Carver</t>
  </si>
  <si>
    <t>Super ET</t>
  </si>
  <si>
    <t>Racconti</t>
  </si>
  <si>
    <t>BUR Scrittri Contemporanei</t>
  </si>
  <si>
    <t>Romanzo</t>
  </si>
  <si>
    <t>Alessandro Baricco</t>
  </si>
  <si>
    <t>Senza sangue</t>
  </si>
  <si>
    <t>Simposio</t>
  </si>
  <si>
    <t>Platone</t>
  </si>
  <si>
    <t>Adelphi</t>
  </si>
  <si>
    <t>Piccola Biblioteca Adelphi</t>
  </si>
  <si>
    <t>Oscar Moderni</t>
  </si>
  <si>
    <t>Il lupo della steppa</t>
  </si>
  <si>
    <t>Herman Hesse</t>
  </si>
  <si>
    <t>Garzanti</t>
  </si>
  <si>
    <t>I grandi libri</t>
  </si>
  <si>
    <t>Controcorrente</t>
  </si>
  <si>
    <t>Joris-Karl Huysmans</t>
  </si>
  <si>
    <t>Johann Wolfgang Goethe</t>
  </si>
  <si>
    <t>Marsilio</t>
  </si>
  <si>
    <t>Letteratura universale</t>
  </si>
  <si>
    <t>Italiano, Tedesco</t>
  </si>
  <si>
    <t>Le affinità elettive</t>
  </si>
  <si>
    <t>Dante Alighieri</t>
  </si>
  <si>
    <t>Italiano, Latino</t>
  </si>
  <si>
    <t>Monarchia</t>
  </si>
  <si>
    <t>BUR Classici</t>
  </si>
  <si>
    <t>La sonata a Kreutzer</t>
  </si>
  <si>
    <t>Italiano, Russo</t>
  </si>
  <si>
    <t>BUR Classici Moderni</t>
  </si>
  <si>
    <t>Lev Nikolàevič Tolstoj</t>
  </si>
  <si>
    <t>Il valzer degli addii</t>
  </si>
  <si>
    <t>Milan Kundera</t>
  </si>
  <si>
    <t>Gli Adelphi</t>
  </si>
  <si>
    <t>Foglie d'erba</t>
  </si>
  <si>
    <t>Walt Whitman</t>
  </si>
  <si>
    <t>Italiano, Inglese</t>
  </si>
  <si>
    <t>Oscar Mondadori Poesia</t>
  </si>
  <si>
    <t>De Profundis</t>
  </si>
  <si>
    <t>Oscar Wilde</t>
  </si>
  <si>
    <t>Epistola</t>
  </si>
  <si>
    <t>Facezie</t>
  </si>
  <si>
    <t>Poggio Bracciolini</t>
  </si>
  <si>
    <t>Opinioni di un clown</t>
  </si>
  <si>
    <t>Heinrich Böll</t>
  </si>
  <si>
    <t>Raccolta</t>
  </si>
  <si>
    <t>Oscar Classici Moderni</t>
  </si>
  <si>
    <t>1-B-157</t>
  </si>
  <si>
    <t>2-A-3131</t>
  </si>
  <si>
    <t>1-C-2424</t>
  </si>
  <si>
    <t>1-C-741</t>
  </si>
  <si>
    <t>1-C-742</t>
  </si>
  <si>
    <t>1-A-7848</t>
  </si>
  <si>
    <t>1-A-498</t>
  </si>
  <si>
    <t>1-C-1668</t>
  </si>
  <si>
    <t>2-B-31</t>
  </si>
  <si>
    <t>2-C-2499</t>
  </si>
  <si>
    <t>2-C-888</t>
  </si>
  <si>
    <t>2-B-888</t>
  </si>
  <si>
    <t>2-A-7877</t>
  </si>
  <si>
    <t>1-A-31</t>
  </si>
  <si>
    <t>1-A-313</t>
  </si>
  <si>
    <t>1-C-2124</t>
  </si>
  <si>
    <t>2-B-9987</t>
  </si>
  <si>
    <t>2-A-4147</t>
  </si>
  <si>
    <t>1-A-784</t>
  </si>
  <si>
    <t>1-A-955</t>
  </si>
  <si>
    <t>1-A-87</t>
  </si>
  <si>
    <t>2-C-3337</t>
  </si>
  <si>
    <t>2-C-442</t>
  </si>
  <si>
    <t>1-B-2000</t>
  </si>
  <si>
    <t>Data prestito</t>
  </si>
  <si>
    <t>ID libro</t>
  </si>
  <si>
    <t>Titolo libro</t>
  </si>
  <si>
    <t>ID collaboratore prestito</t>
  </si>
  <si>
    <t>Data restituzione</t>
  </si>
  <si>
    <t>ID collaboratore restituzione</t>
  </si>
  <si>
    <t>Ritardo</t>
  </si>
  <si>
    <t>ID utente</t>
  </si>
  <si>
    <t>S</t>
  </si>
  <si>
    <t>TITOLO</t>
  </si>
  <si>
    <t>AUTORE</t>
  </si>
  <si>
    <t>DISPONIBILITÀ</t>
  </si>
  <si>
    <t>CODICE CLIENTE</t>
  </si>
  <si>
    <t>LIBRO IN POSSESSO</t>
  </si>
  <si>
    <t>RITARDO</t>
  </si>
  <si>
    <t>GENERE</t>
  </si>
  <si>
    <t>Età</t>
  </si>
  <si>
    <t>Operazioni completate</t>
  </si>
  <si>
    <t>Libri presi in prestito</t>
  </si>
  <si>
    <t>Media operazioni</t>
  </si>
  <si>
    <t>18-29</t>
  </si>
  <si>
    <t>30-39</t>
  </si>
  <si>
    <t>40-49</t>
  </si>
  <si>
    <t>50-59</t>
  </si>
  <si>
    <t>60-69</t>
  </si>
  <si>
    <t>Fascia d'età</t>
  </si>
  <si>
    <t>70-79</t>
  </si>
  <si>
    <t>80-89</t>
  </si>
  <si>
    <t>Media prestiti</t>
  </si>
  <si>
    <t>ID CLIENTE</t>
  </si>
  <si>
    <t>ID DIPENDENTE</t>
  </si>
  <si>
    <t>LIBRO DA RESTITUIRE</t>
  </si>
  <si>
    <t>AMMENDA DA SALDARE</t>
  </si>
  <si>
    <t>IDONEITÀ AL PRESTITO</t>
  </si>
  <si>
    <t>TITOLO SCELTO</t>
  </si>
  <si>
    <t>ID LIBRO</t>
  </si>
  <si>
    <t>ID Prestito</t>
  </si>
  <si>
    <t>Frequenza di prestito</t>
  </si>
  <si>
    <r>
      <t>BUR</t>
    </r>
    <r>
      <rPr>
        <u/>
        <sz val="11"/>
        <color theme="1"/>
        <rFont val="Calibri"/>
        <family val="2"/>
        <scheme val="minor"/>
      </rPr>
      <t xml:space="preserve"> </t>
    </r>
    <r>
      <rPr>
        <sz val="11"/>
        <color theme="1"/>
        <rFont val="Calibri"/>
        <family val="2"/>
        <scheme val="minor"/>
      </rPr>
      <t>Classici</t>
    </r>
  </si>
  <si>
    <t>ID dipendente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</si>
</sst>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0.00\ [$€-410]"/>
  </numFmts>
  <fonts count="9" x14ac:knownFonts="1">
    <font>
      <sz val="11"/>
      <color theme="1"/>
      <name val="Calibri"/>
      <family val="2"/>
      <scheme val="minor"/>
    </font>
    <font>
      <b/>
      <sz val="11"/>
      <color theme="1"/>
      <name val="Calibri"/>
      <family val="2"/>
      <scheme val="minor"/>
    </font>
    <font>
      <sz val="8"/>
      <name val="Calibri"/>
      <family val="2"/>
      <scheme val="minor"/>
    </font>
    <font>
      <sz val="9"/>
      <color indexed="81"/>
      <name val="Tahoma"/>
      <charset val="1"/>
    </font>
    <font>
      <b/>
      <sz val="9"/>
      <color indexed="81"/>
      <name val="Tahoma"/>
      <charset val="1"/>
    </font>
    <font>
      <sz val="9"/>
      <color indexed="81"/>
      <name val="Tahoma"/>
      <family val="2"/>
    </font>
    <font>
      <b/>
      <sz val="9"/>
      <color indexed="81"/>
      <name val="Tahoma"/>
      <family val="2"/>
    </font>
    <font>
      <u/>
      <sz val="11"/>
      <color theme="1"/>
      <name val="Calibri"/>
      <family val="2"/>
      <scheme val="minor"/>
    </font>
    <font>
      <sz val="1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9933"/>
        <bgColor indexed="64"/>
      </patternFill>
    </fill>
    <fill>
      <patternFill patternType="solid">
        <fgColor theme="7" tint="0.39997558519241921"/>
        <bgColor indexed="64"/>
      </patternFill>
    </fill>
  </fills>
  <borders count="11">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35">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164" fontId="0" fillId="0" borderId="0" xfId="0" applyNumberFormat="1"/>
    <xf numFmtId="165" fontId="0" fillId="0" borderId="0" xfId="0" applyNumberFormat="1"/>
    <xf numFmtId="0" fontId="0" fillId="0" borderId="0" xfId="0" applyNumberFormat="1"/>
    <xf numFmtId="0" fontId="0" fillId="0" borderId="0" xfId="0" applyAlignment="1">
      <alignment wrapText="1"/>
    </xf>
    <xf numFmtId="0" fontId="0" fillId="0" borderId="0" xfId="0" applyAlignment="1">
      <alignment horizontal="right"/>
    </xf>
    <xf numFmtId="14" fontId="0" fillId="0" borderId="0" xfId="0" applyNumberFormat="1"/>
    <xf numFmtId="0" fontId="1" fillId="0" borderId="0" xfId="0" applyFont="1"/>
    <xf numFmtId="0" fontId="0" fillId="0" borderId="10" xfId="0" applyBorder="1"/>
    <xf numFmtId="0" fontId="1" fillId="2" borderId="0" xfId="0" applyFont="1" applyFill="1"/>
    <xf numFmtId="0" fontId="0" fillId="2" borderId="10" xfId="0" applyFill="1" applyBorder="1"/>
    <xf numFmtId="0" fontId="0" fillId="0" borderId="0" xfId="0" applyBorder="1"/>
    <xf numFmtId="0" fontId="8" fillId="0" borderId="0" xfId="0" applyFont="1"/>
    <xf numFmtId="0" fontId="1" fillId="0" borderId="1" xfId="0" applyFont="1" applyBorder="1"/>
    <xf numFmtId="2" fontId="0" fillId="0" borderId="1" xfId="0" applyNumberFormat="1" applyBorder="1"/>
    <xf numFmtId="0" fontId="0" fillId="0" borderId="1" xfId="0" applyNumberFormat="1" applyBorder="1"/>
    <xf numFmtId="0" fontId="0" fillId="0" borderId="1" xfId="0" applyFill="1" applyBorder="1"/>
    <xf numFmtId="0" fontId="0" fillId="3" borderId="0" xfId="0" applyFill="1"/>
    <xf numFmtId="0" fontId="0" fillId="4" borderId="0" xfId="0" applyFill="1"/>
    <xf numFmtId="0" fontId="0" fillId="0" borderId="10" xfId="0" applyNumberFormat="1" applyBorder="1"/>
    <xf numFmtId="0" fontId="0" fillId="0" borderId="0" xfId="0" applyNumberFormat="1" applyBorder="1"/>
    <xf numFmtId="0" fontId="0" fillId="0" borderId="0" xfId="0" applyFill="1"/>
    <xf numFmtId="0" fontId="0" fillId="0" borderId="0" xfId="0" applyFill="1" applyBorder="1"/>
    <xf numFmtId="0" fontId="0" fillId="0" borderId="0" xfId="0" applyNumberFormat="1" applyFill="1" applyBorder="1"/>
    <xf numFmtId="0" fontId="0" fillId="0" borderId="10" xfId="0" applyNumberFormat="1" applyBorder="1" applyAlignment="1">
      <alignment wrapText="1"/>
    </xf>
    <xf numFmtId="0" fontId="0" fillId="0" borderId="10" xfId="0" applyBorder="1" applyAlignment="1">
      <alignment wrapText="1"/>
    </xf>
  </cellXfs>
  <cellStyles count="1">
    <cellStyle name="Normal" xfId="0" builtinId="0"/>
  </cellStyles>
  <dxfs count="38">
    <dxf>
      <numFmt numFmtId="165" formatCode="#,##0.00\ [$€-410]"/>
    </dxf>
    <dxf>
      <border>
        <left style="thin">
          <color auto="1"/>
        </left>
        <right style="thin">
          <color auto="1"/>
        </right>
        <top style="thin">
          <color auto="1"/>
        </top>
        <bottom style="thin">
          <color auto="1"/>
        </bottom>
        <vertical/>
        <horizontal/>
      </border>
    </dxf>
    <dxf>
      <numFmt numFmtId="165" formatCode="#,##0.00\ [$€-410]"/>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numFmt numFmtId="0" formatCode="General"/>
    </dxf>
    <dxf>
      <numFmt numFmtId="0" formatCode="General"/>
    </dxf>
    <dxf>
      <numFmt numFmtId="0" formatCode="General"/>
      <alignment horizontal="general" vertical="bottom" textRotation="0" wrapText="1" indent="0" justifyLastLine="0" shrinkToFit="0" readingOrder="0"/>
    </dxf>
    <dxf>
      <alignment horizontal="right" vertical="bottom" textRotation="0" wrapText="0" indent="0" justifyLastLine="0" shrinkToFit="0" readingOrder="0"/>
    </dxf>
    <dxf>
      <numFmt numFmtId="164" formatCode="dd/mm/yyyy;@"/>
    </dxf>
    <dxf>
      <numFmt numFmtId="0" formatCode="General"/>
    </dxf>
    <dxf>
      <numFmt numFmtId="0" formatCode="General"/>
    </dxf>
    <dxf>
      <numFmt numFmtId="0" formatCode="General"/>
      <alignment horizontal="right" vertical="bottom" textRotation="0" wrapText="0" indent="0" justifyLastLine="0" shrinkToFit="0" readingOrder="0"/>
    </dxf>
    <dxf>
      <alignment horizontal="right" vertical="bottom" textRotation="0" wrapText="0" indent="0" justifyLastLine="0" shrinkToFit="0" readingOrder="0"/>
    </dxf>
    <dxf>
      <alignment horizontal="general" vertical="bottom" textRotation="0" wrapText="1" indent="0" justifyLastLine="0" shrinkToFit="0" readingOrder="0"/>
    </dxf>
    <dxf>
      <numFmt numFmtId="0" formatCode="General"/>
    </dxf>
    <dxf>
      <numFmt numFmtId="0" formatCode="General"/>
    </dxf>
    <dxf>
      <numFmt numFmtId="165" formatCode="#,##0.00\ [$€-410]"/>
    </dxf>
    <dxf>
      <numFmt numFmtId="0" formatCode="General"/>
    </dxf>
    <dxf>
      <numFmt numFmtId="0" formatCode="General"/>
    </dxf>
    <dxf>
      <numFmt numFmtId="0" formatCode="General"/>
    </dxf>
    <dxf>
      <numFmt numFmtId="164" formatCode="dd/mm/yyyy;@"/>
    </dxf>
    <dxf>
      <numFmt numFmtId="0" formatCode="General"/>
    </dxf>
    <dxf>
      <numFmt numFmtId="164" formatCode="dd/mm/yyyy;@"/>
    </dxf>
    <dxf>
      <border diagonalUp="0" diagonalDown="0">
        <left style="thin">
          <color auto="1"/>
        </left>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border diagonalUp="0" diagonalDown="0" outline="0">
        <left style="thin">
          <color auto="1"/>
        </left>
        <right style="thin">
          <color auto="1"/>
        </right>
        <top/>
        <bottom/>
      </border>
    </dxf>
  </dxfs>
  <tableStyles count="0" defaultTableStyle="TableStyleMedium2" defaultPivotStyle="PivotStyleLight16"/>
  <colors>
    <mruColors>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Media operazioni per</a:t>
            </a:r>
            <a:r>
              <a:rPr lang="en-GB" baseline="0"/>
              <a:t> età</a:t>
            </a:r>
          </a:p>
        </c:rich>
      </c:tx>
      <c:layout>
        <c:manualLayout>
          <c:xMode val="edge"/>
          <c:yMode val="edge"/>
          <c:x val="0.24468044619422571"/>
          <c:y val="7.8703703703703706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'STATISTICHE DIPENDENTI'!$C$16:$C$20</c:f>
              <c:strCache>
                <c:ptCount val="5"/>
                <c:pt idx="0">
                  <c:v>18-29</c:v>
                </c:pt>
                <c:pt idx="1">
                  <c:v>30-39</c:v>
                </c:pt>
                <c:pt idx="2">
                  <c:v>40-49</c:v>
                </c:pt>
                <c:pt idx="3">
                  <c:v>50-59</c:v>
                </c:pt>
                <c:pt idx="4">
                  <c:v>60-69</c:v>
                </c:pt>
              </c:strCache>
            </c:strRef>
          </c:cat>
          <c:val>
            <c:numRef>
              <c:f>'STATISTICHE DIPENDENTI'!$D$16:$D$20</c:f>
              <c:numCache>
                <c:formatCode>0.00</c:formatCode>
                <c:ptCount val="5"/>
                <c:pt idx="0">
                  <c:v>3.5</c:v>
                </c:pt>
                <c:pt idx="1">
                  <c:v>4</c:v>
                </c:pt>
                <c:pt idx="2">
                  <c:v>5</c:v>
                </c:pt>
                <c:pt idx="3">
                  <c:v>5.5</c:v>
                </c:pt>
                <c:pt idx="4">
                  <c:v>9</c:v>
                </c:pt>
              </c:numCache>
            </c:numRef>
          </c:val>
          <c:extLst>
            <c:ext xmlns:c16="http://schemas.microsoft.com/office/drawing/2014/chart" uri="{C3380CC4-5D6E-409C-BE32-E72D297353CC}">
              <c16:uniqueId val="{00000000-6779-4A56-BF16-AE64BF532F1A}"/>
            </c:ext>
          </c:extLst>
        </c:ser>
        <c:dLbls>
          <c:dLblPos val="inEnd"/>
          <c:showLegendKey val="0"/>
          <c:showVal val="1"/>
          <c:showCatName val="0"/>
          <c:showSerName val="0"/>
          <c:showPercent val="0"/>
          <c:showBubbleSize val="0"/>
        </c:dLbls>
        <c:gapWidth val="65"/>
        <c:axId val="2127882815"/>
        <c:axId val="2127881567"/>
      </c:barChart>
      <c:catAx>
        <c:axId val="212788281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127881567"/>
        <c:crosses val="autoZero"/>
        <c:auto val="1"/>
        <c:lblAlgn val="ctr"/>
        <c:lblOffset val="100"/>
        <c:noMultiLvlLbl val="0"/>
      </c:catAx>
      <c:valAx>
        <c:axId val="2127881567"/>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none"/>
        <c:minorTickMark val="none"/>
        <c:tickLblPos val="nextTo"/>
        <c:crossAx val="2127882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Media</a:t>
            </a:r>
            <a:r>
              <a:rPr lang="en-GB" baseline="0"/>
              <a:t> prestiti per età</a:t>
            </a:r>
            <a:endParaRPr lang="en-GB"/>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'STATISTICHE UTENTI'!$C$20:$C$26</c:f>
              <c:strCache>
                <c:ptCount val="7"/>
                <c:pt idx="0">
                  <c:v>18-29</c:v>
                </c:pt>
                <c:pt idx="1">
                  <c:v>30-39</c:v>
                </c:pt>
                <c:pt idx="2">
                  <c:v>40-49</c:v>
                </c:pt>
                <c:pt idx="3">
                  <c:v>50-59</c:v>
                </c:pt>
                <c:pt idx="4">
                  <c:v>60-69</c:v>
                </c:pt>
                <c:pt idx="5">
                  <c:v>70-79</c:v>
                </c:pt>
                <c:pt idx="6">
                  <c:v>80-89</c:v>
                </c:pt>
              </c:strCache>
            </c:strRef>
          </c:cat>
          <c:val>
            <c:numRef>
              <c:f>'STATISTICHE UTENTI'!$D$20:$D$26</c:f>
              <c:numCache>
                <c:formatCode>General</c:formatCode>
                <c:ptCount val="7"/>
                <c:pt idx="0">
                  <c:v>3</c:v>
                </c:pt>
                <c:pt idx="1">
                  <c:v>1</c:v>
                </c:pt>
                <c:pt idx="2">
                  <c:v>2</c:v>
                </c:pt>
                <c:pt idx="3">
                  <c:v>2.5</c:v>
                </c:pt>
                <c:pt idx="4" formatCode="0.00">
                  <c:v>1.6666666666666667</c:v>
                </c:pt>
                <c:pt idx="5">
                  <c:v>2</c:v>
                </c:pt>
                <c:pt idx="6">
                  <c:v>2</c:v>
                </c:pt>
              </c:numCache>
            </c:numRef>
          </c:val>
          <c:extLst>
            <c:ext xmlns:c16="http://schemas.microsoft.com/office/drawing/2014/chart" uri="{C3380CC4-5D6E-409C-BE32-E72D297353CC}">
              <c16:uniqueId val="{00000000-B8D4-42BB-95EB-5C7510837739}"/>
            </c:ext>
          </c:extLst>
        </c:ser>
        <c:dLbls>
          <c:dLblPos val="inEnd"/>
          <c:showLegendKey val="0"/>
          <c:showVal val="1"/>
          <c:showCatName val="0"/>
          <c:showSerName val="0"/>
          <c:showPercent val="0"/>
          <c:showBubbleSize val="0"/>
        </c:dLbls>
        <c:gapWidth val="65"/>
        <c:axId val="965171759"/>
        <c:axId val="965172175"/>
      </c:barChart>
      <c:catAx>
        <c:axId val="96517175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65172175"/>
        <c:crosses val="autoZero"/>
        <c:auto val="1"/>
        <c:lblAlgn val="ctr"/>
        <c:lblOffset val="100"/>
        <c:noMultiLvlLbl val="0"/>
      </c:catAx>
      <c:valAx>
        <c:axId val="965172175"/>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9651717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678180</xdr:colOff>
      <xdr:row>16</xdr:row>
      <xdr:rowOff>68580</xdr:rowOff>
    </xdr:from>
    <xdr:to>
      <xdr:col>4</xdr:col>
      <xdr:colOff>876300</xdr:colOff>
      <xdr:row>25</xdr:row>
      <xdr:rowOff>15240</xdr:rowOff>
    </xdr:to>
    <mc:AlternateContent xmlns:mc="http://schemas.openxmlformats.org/markup-compatibility/2006">
      <mc:Choice xmlns:a14="http://schemas.microsoft.com/office/drawing/2010/main" Requires="a14">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78180" y="3078480"/>
              <a:ext cx="4800600" cy="15925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 seguito di un focus group conoscitivo,</a:t>
              </a:r>
              <a:r>
                <a:rPr lang="en-GB" sz="1100" baseline="0"/>
                <a:t> a</a:t>
              </a:r>
              <a:r>
                <a:rPr lang="en-GB" sz="1100"/>
                <a:t>l</a:t>
              </a:r>
              <a:r>
                <a:rPr lang="en-GB" sz="1100" baseline="0"/>
                <a:t> direttore e ai dipendenti è stato somministrato un questionario con dieci domande, con risposte con la scala di Likert da 1 a 5 (da "del tutto contrario" a "molto d'accordo"). Ai requisiti ottenuti durante il focus group si aggiungono quelli che hanno ricevuto un'approvazione media maggiore o uguale al voto medio(</a:t>
              </a:r>
              <a14:m>
                <m:oMath xmlns:m="http://schemas.openxmlformats.org/officeDocument/2006/math">
                  <m:r>
                    <a:rPr lang="en-GB" sz="1100" i="1" baseline="0">
                      <a:latin typeface="Cambria Math" panose="02040503050406030204" pitchFamily="18" charset="0"/>
                      <a:ea typeface="Cambria Math" panose="02040503050406030204" pitchFamily="18" charset="0"/>
                    </a:rPr>
                    <m:t>≥</m:t>
                  </m:r>
                  <m:r>
                    <a:rPr lang="en-GB" sz="1100" b="0" i="1" baseline="0">
                      <a:latin typeface="Cambria Math" panose="02040503050406030204" pitchFamily="18" charset="0"/>
                      <a:ea typeface="Cambria Math" panose="02040503050406030204" pitchFamily="18" charset="0"/>
                    </a:rPr>
                    <m:t>3)</m:t>
                  </m:r>
                </m:oMath>
              </a14:m>
              <a:r>
                <a:rPr lang="en-GB" sz="1100" baseline="0"/>
                <a:t>. I questionari bocciano tutte le questioni legate all'organizzazione dei dipendenti, per la qual ragione una discussione separata con la dirigenza può rendersi utile. Il testo dei quesiti si trova in commento agli header della tabella qui sopra. A seguire si implentano gli strumenti informatici per le migliorie accolte dal cliente.</a:t>
              </a:r>
            </a:p>
          </xdr:txBody>
        </xdr:sp>
      </mc:Choice>
      <mc:Fallback>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78180" y="3078480"/>
              <a:ext cx="4800600" cy="15925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 seguito di un focus group conoscitivo,</a:t>
              </a:r>
              <a:r>
                <a:rPr lang="en-GB" sz="1100" baseline="0"/>
                <a:t> a</a:t>
              </a:r>
              <a:r>
                <a:rPr lang="en-GB" sz="1100"/>
                <a:t>l</a:t>
              </a:r>
              <a:r>
                <a:rPr lang="en-GB" sz="1100" baseline="0"/>
                <a:t> direttore e ai dipendenti è stato somministrato un questionario con dieci domande, con risposte con la scala di Likert da 1 a 5 (da "del tutto contrario" a "molto d'accordo"). Ai requisiti ottenuti durante il focus group si aggiungono quelli che hanno ricevuto un'approvazione media maggiore o uguale al voto medio(</a:t>
              </a:r>
              <a:r>
                <a:rPr lang="en-GB" sz="1100" i="0" baseline="0">
                  <a:latin typeface="Cambria Math" panose="02040503050406030204" pitchFamily="18" charset="0"/>
                  <a:ea typeface="Cambria Math" panose="02040503050406030204" pitchFamily="18" charset="0"/>
                </a:rPr>
                <a:t>≥</a:t>
              </a:r>
              <a:r>
                <a:rPr lang="en-GB" sz="1100" b="0" i="0" baseline="0">
                  <a:latin typeface="Cambria Math" panose="02040503050406030204" pitchFamily="18" charset="0"/>
                  <a:ea typeface="Cambria Math" panose="02040503050406030204" pitchFamily="18" charset="0"/>
                </a:rPr>
                <a:t>3)</a:t>
              </a:r>
              <a:r>
                <a:rPr lang="en-GB" sz="1100" baseline="0"/>
                <a:t>. I questionari bocciano tutte le questioni legate all'organizzazione dei dipendenti, per la qual ragione una discussione separata con la dirigenza può rendersi utile. Il testo dei quesiti si trova in commento agli header della tabella qui sopra. A seguire si implentano gli strumenti informatici per le migliorie accolte dal cliente.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1264920</xdr:colOff>
      <xdr:row>10</xdr:row>
      <xdr:rowOff>30480</xdr:rowOff>
    </xdr:from>
    <xdr:to>
      <xdr:col>12</xdr:col>
      <xdr:colOff>487680</xdr:colOff>
      <xdr:row>22</xdr:row>
      <xdr:rowOff>152400</xdr:rowOff>
    </xdr:to>
    <xdr:sp macro="" textlink="">
      <xdr:nvSpPr>
        <xdr:cNvPr id="2" name="TextBox 1">
          <a:extLst>
            <a:ext uri="{FF2B5EF4-FFF2-40B4-BE49-F238E27FC236}">
              <a16:creationId xmlns:a16="http://schemas.microsoft.com/office/drawing/2014/main" id="{72E1E971-CD5E-4B64-84E3-B876CB9A36B7}"/>
            </a:ext>
          </a:extLst>
        </xdr:cNvPr>
        <xdr:cNvSpPr txBox="1"/>
      </xdr:nvSpPr>
      <xdr:spPr>
        <a:xfrm>
          <a:off x="9189720" y="1714500"/>
          <a:ext cx="3489960" cy="18516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Questa</a:t>
          </a:r>
          <a:r>
            <a:rPr lang="en-GB" sz="1100" baseline="0"/>
            <a:t> è una pagina</a:t>
          </a:r>
          <a:r>
            <a:rPr lang="en-GB" sz="1100"/>
            <a:t> di consultazione per tre ricerche</a:t>
          </a:r>
          <a:r>
            <a:rPr lang="en-GB" sz="1100" baseline="0"/>
            <a:t>: quella per titolo, quella per codice cliente e quella per genere letterario.</a:t>
          </a:r>
          <a:endParaRPr lang="en-GB" sz="1100"/>
        </a:p>
        <a:p>
          <a:r>
            <a:rPr lang="en-GB" sz="1100"/>
            <a:t>È possibile digitare nei riquadri cerulei le informazioni richieste e ottenere le informazioni</a:t>
          </a:r>
          <a:r>
            <a:rPr lang="en-GB" sz="1100" baseline="0"/>
            <a:t> contenute nei database senza doverli visionare.</a:t>
          </a:r>
        </a:p>
        <a:p>
          <a:r>
            <a:rPr lang="en-GB" sz="1100" baseline="0"/>
            <a:t>L'utilità di questo strumento si manifesta - e anzi si rende necessaria - per database molto estesi: non solo è efficiente in termini di tempo, ma è anche intellegibile da chi non conosce i database.</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899160</xdr:colOff>
      <xdr:row>9</xdr:row>
      <xdr:rowOff>510540</xdr:rowOff>
    </xdr:from>
    <xdr:to>
      <xdr:col>13</xdr:col>
      <xdr:colOff>53340</xdr:colOff>
      <xdr:row>11</xdr:row>
      <xdr:rowOff>129540</xdr:rowOff>
    </xdr:to>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5524500" y="2842260"/>
          <a:ext cx="6362700" cy="4800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2800">
              <a:solidFill>
                <a:schemeClr val="accent4">
                  <a:lumMod val="60000"/>
                  <a:lumOff val="40000"/>
                </a:schemeClr>
              </a:solidFill>
            </a:rPr>
            <a:t>GESTIONALE</a:t>
          </a:r>
          <a:r>
            <a:rPr lang="en-GB" sz="2800" baseline="0">
              <a:solidFill>
                <a:schemeClr val="accent4">
                  <a:lumMod val="60000"/>
                  <a:lumOff val="40000"/>
                </a:schemeClr>
              </a:solidFill>
            </a:rPr>
            <a:t> PER I PRESTITI</a:t>
          </a:r>
        </a:p>
        <a:p>
          <a:pPr algn="r"/>
          <a:endParaRPr lang="en-GB" sz="1100"/>
        </a:p>
      </xdr:txBody>
    </xdr:sp>
    <xdr:clientData/>
  </xdr:twoCellAnchor>
  <mc:AlternateContent xmlns:mc="http://schemas.openxmlformats.org/markup-compatibility/2006">
    <mc:Choice xmlns:a14="http://schemas.microsoft.com/office/drawing/2010/main" Requires="a14">
      <xdr:twoCellAnchor editAs="oneCell">
        <xdr:from>
          <xdr:col>10</xdr:col>
          <xdr:colOff>556260</xdr:colOff>
          <xdr:row>12</xdr:row>
          <xdr:rowOff>167640</xdr:rowOff>
        </xdr:from>
        <xdr:to>
          <xdr:col>13</xdr:col>
          <xdr:colOff>99060</xdr:colOff>
          <xdr:row>14</xdr:row>
          <xdr:rowOff>373380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518160</xdr:colOff>
          <xdr:row>3</xdr:row>
          <xdr:rowOff>7620</xdr:rowOff>
        </xdr:from>
        <xdr:to>
          <xdr:col>9</xdr:col>
          <xdr:colOff>1234440</xdr:colOff>
          <xdr:row>5</xdr:row>
          <xdr:rowOff>30480</xdr:rowOff>
        </xdr:to>
        <xdr:sp macro="" textlink="">
          <xdr:nvSpPr>
            <xdr:cNvPr id="11271" name="CommandButton2" hidden="1">
              <a:extLst>
                <a:ext uri="{63B3BB69-23CF-44E3-9099-C40C66FF867C}">
                  <a14:compatExt spid="_x0000_s11271"/>
                </a:ext>
                <a:ext uri="{FF2B5EF4-FFF2-40B4-BE49-F238E27FC236}">
                  <a16:creationId xmlns:a16="http://schemas.microsoft.com/office/drawing/2014/main" id="{00000000-0008-0000-06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7620</xdr:colOff>
      <xdr:row>0</xdr:row>
      <xdr:rowOff>312420</xdr:rowOff>
    </xdr:from>
    <xdr:to>
      <xdr:col>8</xdr:col>
      <xdr:colOff>38100</xdr:colOff>
      <xdr:row>1</xdr:row>
      <xdr:rowOff>144780</xdr:rowOff>
    </xdr:to>
    <xdr:sp macro="" textlink="">
      <xdr:nvSpPr>
        <xdr:cNvPr id="8" name="TextBox 7">
          <a:extLst>
            <a:ext uri="{FF2B5EF4-FFF2-40B4-BE49-F238E27FC236}">
              <a16:creationId xmlns:a16="http://schemas.microsoft.com/office/drawing/2014/main" id="{00000000-0008-0000-0600-000008000000}"/>
            </a:ext>
          </a:extLst>
        </xdr:cNvPr>
        <xdr:cNvSpPr txBox="1"/>
      </xdr:nvSpPr>
      <xdr:spPr>
        <a:xfrm>
          <a:off x="1760220" y="312420"/>
          <a:ext cx="6362700" cy="4800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solidFill>
                <a:srgbClr val="FF9933"/>
              </a:solidFill>
            </a:rPr>
            <a:t>GESTIONALE</a:t>
          </a:r>
          <a:r>
            <a:rPr lang="en-GB" sz="2800" baseline="0">
              <a:solidFill>
                <a:srgbClr val="FF9933"/>
              </a:solidFill>
            </a:rPr>
            <a:t> PER I RESI</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342900</xdr:colOff>
      <xdr:row>4</xdr:row>
      <xdr:rowOff>87630</xdr:rowOff>
    </xdr:from>
    <xdr:to>
      <xdr:col>12</xdr:col>
      <xdr:colOff>381000</xdr:colOff>
      <xdr:row>19</xdr:row>
      <xdr:rowOff>87630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160020</xdr:colOff>
      <xdr:row>4</xdr:row>
      <xdr:rowOff>0</xdr:rowOff>
    </xdr:from>
    <xdr:to>
      <xdr:col>20</xdr:col>
      <xdr:colOff>83820</xdr:colOff>
      <xdr:row>21</xdr:row>
      <xdr:rowOff>53340</xdr:rowOff>
    </xdr:to>
    <xdr:sp macro="" textlink="">
      <xdr:nvSpPr>
        <xdr:cNvPr id="2" name="TextBox 1">
          <a:extLst>
            <a:ext uri="{FF2B5EF4-FFF2-40B4-BE49-F238E27FC236}">
              <a16:creationId xmlns:a16="http://schemas.microsoft.com/office/drawing/2014/main" id="{19EA8D3D-F993-4820-8DC1-33B9A9E0333E}"/>
            </a:ext>
          </a:extLst>
        </xdr:cNvPr>
        <xdr:cNvSpPr txBox="1"/>
      </xdr:nvSpPr>
      <xdr:spPr>
        <a:xfrm>
          <a:off x="10530840" y="723900"/>
          <a:ext cx="3489960" cy="3162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La</a:t>
          </a:r>
          <a:r>
            <a:rPr lang="en-GB" sz="1100" baseline="0"/>
            <a:t> digitalizzazione e la strutturazione di questi database permettono la rielaborazione dei dati raccolti per ottenere informazioni non per forza evidenti.</a:t>
          </a:r>
        </a:p>
        <a:p>
          <a:r>
            <a:rPr lang="en-GB" sz="1100" baseline="0"/>
            <a:t>Questo grafico illustra la media delle operazioni di reso e prestito effettuate dai dipendenti, suddivisi per fascia d'età.</a:t>
          </a:r>
        </a:p>
        <a:p>
          <a:r>
            <a:rPr lang="en-GB" sz="1100" baseline="0"/>
            <a:t>All'aggiunta di ogni operazione questo grafico affinerà i suoi risultati.</a:t>
          </a:r>
        </a:p>
        <a:p>
          <a:r>
            <a:rPr lang="en-GB" sz="1100" baseline="0"/>
            <a:t>Benché i dati siano ancora numericamente poco rilevanti,</a:t>
          </a:r>
        </a:p>
        <a:p>
          <a:r>
            <a:rPr lang="en-GB" sz="1100" baseline="0"/>
            <a:t>sembra essere suggerita la tendenza per cui a una maggiore esperienza corrisponde una maggior produttività del dipendente.</a:t>
          </a:r>
        </a:p>
        <a:p>
          <a:r>
            <a:rPr lang="en-GB" sz="1100" baseline="0"/>
            <a:t>L'analisi si potrebbe approfondire aggiungendo al database dei prestiti un dato orario preciso e non solo giornaliero, in modo da incrociarlo con i turni di lavoro e dedurre se esista veramente una questione di merito del lavoratore o se non dipenda invece dall'orario di lavoro.</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571500</xdr:colOff>
      <xdr:row>5</xdr:row>
      <xdr:rowOff>179070</xdr:rowOff>
    </xdr:from>
    <xdr:to>
      <xdr:col>14</xdr:col>
      <xdr:colOff>266700</xdr:colOff>
      <xdr:row>20</xdr:row>
      <xdr:rowOff>179070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579120</xdr:colOff>
      <xdr:row>6</xdr:row>
      <xdr:rowOff>114300</xdr:rowOff>
    </xdr:from>
    <xdr:to>
      <xdr:col>21</xdr:col>
      <xdr:colOff>411480</xdr:colOff>
      <xdr:row>20</xdr:row>
      <xdr:rowOff>38100</xdr:rowOff>
    </xdr:to>
    <xdr:sp macro="" textlink="">
      <xdr:nvSpPr>
        <xdr:cNvPr id="3" name="TextBox 2">
          <a:extLst>
            <a:ext uri="{FF2B5EF4-FFF2-40B4-BE49-F238E27FC236}">
              <a16:creationId xmlns:a16="http://schemas.microsoft.com/office/drawing/2014/main" id="{7F21534E-2D1C-48B8-8269-C157F5F29C5C}"/>
            </a:ext>
          </a:extLst>
        </xdr:cNvPr>
        <xdr:cNvSpPr txBox="1"/>
      </xdr:nvSpPr>
      <xdr:spPr>
        <a:xfrm>
          <a:off x="10325100" y="1211580"/>
          <a:ext cx="3489960" cy="24841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Questo</a:t>
          </a:r>
          <a:r>
            <a:rPr lang="en-GB" sz="1100" baseline="0"/>
            <a:t> grafico invece illustra la media dei prestiti dei clienti, sempre suddivisi per fascia d'età. Anche in questo caso i dati a disposizione non sono abbastanza numerosi per affermare che i trend qui suggeriti siano significativi, </a:t>
          </a:r>
        </a:p>
        <a:p>
          <a:r>
            <a:rPr lang="en-GB" sz="1100" baseline="0"/>
            <a:t>ma sembra potersi dedurre che le persone leggano molto nella fase dell'educazione avanzata, abbiano un calo nelle fasi di crescita della carriera lavorativa per poi stabilizzarsi intorno a un valore costante.</a:t>
          </a:r>
        </a:p>
        <a:p>
          <a:r>
            <a:rPr lang="en-GB" sz="1100" baseline="0"/>
            <a:t>Con database più estesi si potrebbe valutare il tempo medio di prestito per ogni libro, il gradimento per fascia d'età, genere e stagionalità per libro e autore e scoprire se caratteristiche anagrafiche dei dipendenti impattino sulle scelte degli utenti in base alle loro caratteristiche anagrafiche.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48F1B40-2FED-421E-87EC-B4DBF29CC749}" name="Questionario" displayName="Questionario" ref="A1:K12" totalsRowShown="0" headerRowDxfId="37" headerRowBorderDxfId="36" tableBorderDxfId="35" totalsRowBorderDxfId="34">
  <autoFilter ref="A1:K12" xr:uid="{348F1B40-2FED-421E-87EC-B4DBF29CC749}"/>
  <tableColumns count="11">
    <tableColumn id="1" xr3:uid="{17163F19-FA3F-4B58-A27F-919FF366361D}" name="ID lavoratore" dataDxfId="33"/>
    <tableColumn id="2" xr3:uid="{F0AF94DA-143E-4C3E-9CF1-6F536D48E8E1}" name="Quesito 1" dataDxfId="32"/>
    <tableColumn id="3" xr3:uid="{F300C562-7BCF-46D2-B423-CA2DB02A6C94}" name="Quesito 2" dataDxfId="31"/>
    <tableColumn id="4" xr3:uid="{74579D6C-E52C-4DC7-870C-63CF3B3B18F3}" name="Quesito 3" dataDxfId="30"/>
    <tableColumn id="5" xr3:uid="{E113C310-A35C-4835-AC65-5B21B1828E63}" name="Quesito 4" dataDxfId="29"/>
    <tableColumn id="6" xr3:uid="{FA41490C-838E-4D5D-BECD-E11BCEA98529}" name="Quesito 5" dataDxfId="28"/>
    <tableColumn id="7" xr3:uid="{B6F3874B-DFE8-4F48-8C1D-20D077CA3D93}" name="Quesito 6" dataDxfId="27"/>
    <tableColumn id="8" xr3:uid="{65F95BCA-C6B8-43B6-A99E-583DDA9181C4}" name="Quesito 7" dataDxfId="26"/>
    <tableColumn id="9" xr3:uid="{7F2F47CC-DE0D-4E11-BD21-CCF7A89AA765}" name="Quesito 8" dataDxfId="25"/>
    <tableColumn id="10" xr3:uid="{1C449506-4617-4343-AFAA-6E614B6D6529}" name="Quesito 9" dataDxfId="24"/>
    <tableColumn id="11" xr3:uid="{DECA640D-733A-43B4-AA1C-31840EF966DE}" name="Quesito 10" dataDxfId="23"/>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A90BFE4-71FD-4AE4-B045-14D58331AB4E}" name="Collaboratori" displayName="Collaboratori" ref="A1:J12" totalsRowShown="0">
  <autoFilter ref="A1:J12" xr:uid="{6A90BFE4-71FD-4AE4-B045-14D58331AB4E}"/>
  <tableColumns count="10">
    <tableColumn id="1" xr3:uid="{C54F10FC-CA16-48C5-B240-8552721A4C00}" name="ID lavoratore"/>
    <tableColumn id="2" xr3:uid="{931D9CA2-C727-438E-8A0B-DF6208BCC94F}" name="Inquadramento">
      <calculatedColumnFormula>RANDBETWEEN(1,2)</calculatedColumnFormula>
    </tableColumn>
    <tableColumn id="3" xr3:uid="{0B85AB51-67E1-4104-B69A-6AFF1443175E}" name="Nome"/>
    <tableColumn id="4" xr3:uid="{800E099C-A6DA-4B46-9799-5F1E18B97381}" name="Cognome"/>
    <tableColumn id="5" xr3:uid="{DC51D1D4-F6CE-4D53-AA7B-D620EFD94E8C}" name="Data di nascita" dataDxfId="22"/>
    <tableColumn id="6" xr3:uid="{7BB0270F-0C1A-4324-B24C-BF28E6A6191F}" name="Luogo di nascita"/>
    <tableColumn id="7" xr3:uid="{223FA09D-BF5D-40E2-9764-4A7F1876414D}" name="Cittadinanza"/>
    <tableColumn id="8" xr3:uid="{61FA7D68-4537-4852-862D-E01742038289}" name="Città di residenza"/>
    <tableColumn id="9" xr3:uid="{DBF1B967-CAB2-4964-9234-F58373DFEED9}" name="Indirizzo"/>
    <tableColumn id="10" xr3:uid="{DB32F565-0052-45A7-BFB4-CAF2E78A19C9}" name="Telefono" dataDxfId="2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4BC7BE9-6961-47B8-8E47-BDEB3AA78464}" name="Utenti" displayName="Utenti" ref="A1:L15" totalsRowShown="0">
  <autoFilter ref="A1:L15" xr:uid="{A4BC7BE9-6961-47B8-8E47-BDEB3AA78464}"/>
  <tableColumns count="12">
    <tableColumn id="1" xr3:uid="{33309CF0-D2BC-40E1-BFA5-722339D07DF2}" name="Numero Tessera"/>
    <tableColumn id="2" xr3:uid="{E42A897F-053B-487D-901D-67197F6C7E73}" name="Nome"/>
    <tableColumn id="3" xr3:uid="{8E442A85-C704-4792-ACC6-FA1645EE6F6E}" name="Cognome"/>
    <tableColumn id="4" xr3:uid="{581C40D8-1087-4ABD-BD30-48F12E84CEF4}" name="Data di nascita" dataDxfId="20"/>
    <tableColumn id="5" xr3:uid="{12DB7E08-C69C-48A8-96FB-8BA38F6C306B}" name="Indirizzo di residenza"/>
    <tableColumn id="6" xr3:uid="{2E9616D6-E750-4C18-9F34-7F29AB3F32B9}" name="Telefono" dataDxfId="19"/>
    <tableColumn id="7" xr3:uid="{46F05013-5AC9-402D-894A-B5341971E8B1}" name="Stato di mora" dataDxfId="18">
      <calculatedColumnFormula>IF(H2&gt;0,1,0)</calculatedColumnFormula>
    </tableColumn>
    <tableColumn id="8" xr3:uid="{73EF1624-F35A-4EC2-BF54-B78BE9E73C75}" name="Giorni di mora" dataDxfId="17">
      <calculatedColumnFormula>IF(_xlfn.XLOOKUP(A2,PRESTITI!D:D,PRESTITI!F:F,"")="",_xlfn.XLOOKUP(A2,PRESTITI!D:D,PRESTITI!H:H,0,0,1),0)</calculatedColumnFormula>
    </tableColumn>
    <tableColumn id="9" xr3:uid="{D5C11817-6718-436E-9E4A-847879DB28B0}" name="Multa maturata" dataDxfId="16">
      <calculatedColumnFormula>IF(G2=1,(H2-3)+1,0)</calculatedColumnFormula>
    </tableColumn>
    <tableColumn id="10" xr3:uid="{FDA7F770-082D-4B3F-9575-058B5CAE0A27}" name="Giorni di inibizione" dataDxfId="15">
      <calculatedColumnFormula>IF(_xlfn.XLOOKUP(A2,PRESTITI!D:D,PRESTITI!H:H,0)&gt;30,IF(_xlfn.XLOOKUP(A2,PRESTITI!D:D,PRESTITI!F:F,"")="",60,IF(_xlfn.DAYS(TODAY(),_xlfn.XLOOKUP(A2,PRESTITI!D:D,PRESTITI!F:F))&lt;0,0,60-_xlfn.DAYS(TODAY(),_xlfn.XLOOKUP(A2,PRESTITI!D:D,PRESTITI!F:F)))),0)</calculatedColumnFormula>
    </tableColumn>
    <tableColumn id="11" xr3:uid="{1D313B73-E5F0-4EE0-9F4C-8156E0AE06E0}" name="Idoneità al prestito">
      <calculatedColumnFormula>IF(J2=0,1,0)</calculatedColumnFormula>
    </tableColumn>
    <tableColumn id="12" xr3:uid="{3AB2A509-ACEF-42F9-97BD-E02568753556}" name="Ultimo prestito" dataDxfId="14">
      <calculatedColumnFormula>_xlfn.XLOOKUP(A2,PRESTITI!D:D,PRESTITI!B:B,"")</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E59749-230C-4C56-B11A-50DC18AFC27A}" name="Libri" displayName="Libri" ref="A1:M25" totalsRowShown="0">
  <autoFilter ref="A1:M25" xr:uid="{D3E59749-230C-4C56-B11A-50DC18AFC27A}"/>
  <tableColumns count="13">
    <tableColumn id="1" xr3:uid="{64DAA1F8-F5FF-453C-BD48-85AE67E8107F}" name="Titolo" dataDxfId="13"/>
    <tableColumn id="2" xr3:uid="{C0AC9A79-1235-4C48-AE39-FDC2CEE31805}" name="Autore"/>
    <tableColumn id="3" xr3:uid="{FCDA4101-B910-400A-A26C-B51E4DADDB18}" name="Lingua"/>
    <tableColumn id="4" xr3:uid="{671A3397-EC7C-4E48-A2EB-E4E5AF1B6B1C}" name="Genere"/>
    <tableColumn id="5" xr3:uid="{4E02D06A-F275-4EE3-9C82-B047B98D6DC6}" name="Casa editrice"/>
    <tableColumn id="6" xr3:uid="{E550F12F-D44D-4B28-BBDE-BCE4A24959DE}" name="Collana"/>
    <tableColumn id="7" xr3:uid="{FA2642DA-8B61-400A-89D4-2DA8F283FCCD}" name="Anno edizione"/>
    <tableColumn id="8" xr3:uid="{0085276B-BF3B-4209-9F4A-DE5E2B8ACE6C}" name="Edizione"/>
    <tableColumn id="9" xr3:uid="{D4FA4C60-03B8-4B9E-BBB2-28BD6F0107E5}" name="Pagine"/>
    <tableColumn id="10" xr3:uid="{D4BF7CBA-F2E5-4C54-A504-AD4682E9D70E}" name="Posizione" dataDxfId="12"/>
    <tableColumn id="11" xr3:uid="{AE413E99-82A5-4A4B-8C41-177FBD2B4ABB}" name="Stato" dataDxfId="11">
      <calculatedColumnFormula>IF(AND(_xlfn.XLOOKUP(J2,PRESTITI!B:B,PRESTITI!A:A,1),_xlfn.XLOOKUP(J2,PRESTITI!B:B,PRESTITI!F:F,0)&gt;0,1),"P-D",_xlfn.CONCAT("P-",_xlfn.XLOOKUP(J2,PRESTITI!B:B,PRESTITI!D:D,"D")))</calculatedColumnFormula>
    </tableColumn>
    <tableColumn id="12" xr3:uid="{E1F13E9C-D95C-4C82-A848-E8EB9A969FE4}" name="Disponibile per" dataDxfId="10">
      <calculatedColumnFormula>IF(K2="P-D",30,0)</calculatedColumnFormula>
    </tableColumn>
    <tableColumn id="13" xr3:uid="{0BCC5190-58C4-4550-99D4-57F930C56E65}" name="Frequenza di prestito" dataDxfId="9">
      <calculatedColumnFormula>COUNTIF(PRESTITI!B:B,J2)</calculatedColumnFormula>
    </tableColumn>
  </tableColumns>
  <tableStyleInfo name="TableStyleMedium2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5C61218-74B7-44E7-BE80-983B7A5385CF}" name="Prestiti" displayName="Prestiti" ref="A1:I31" totalsRowShown="0">
  <autoFilter ref="A1:I31" xr:uid="{E5C61218-74B7-44E7-BE80-983B7A5385CF}"/>
  <tableColumns count="9">
    <tableColumn id="1" xr3:uid="{7EADC817-F289-4875-A0B5-B341E9CAE354}" name="Data prestito" dataDxfId="8"/>
    <tableColumn id="2" xr3:uid="{CB5EA9C4-BC52-4865-9305-3BAE17469498}" name="ID libro" dataDxfId="7"/>
    <tableColumn id="3" xr3:uid="{4FD0F923-E1FF-4F0E-B96B-6972EF92DED0}" name="Titolo libro" dataDxfId="6">
      <calculatedColumnFormula>_xlfn.XLOOKUP(B2,LIBRI!J:J,LIBRI!A:A)</calculatedColumnFormula>
    </tableColumn>
    <tableColumn id="4" xr3:uid="{B5E0B28A-EF7D-4A98-B29A-2F75C2271FA1}" name="ID utente"/>
    <tableColumn id="5" xr3:uid="{DE3D2EB2-2080-473D-9F1A-287B99288FB7}" name="ID collaboratore prestito"/>
    <tableColumn id="6" xr3:uid="{69C0FFBF-4B7B-4FA6-8E05-87ADECAB461B}" name="Data restituzione"/>
    <tableColumn id="7" xr3:uid="{A44A4198-C580-44EA-AE7A-E2598E4792EB}" name="ID collaboratore restituzione"/>
    <tableColumn id="8" xr3:uid="{CA326EAA-99A7-4C84-B1D5-F88AA75F1348}" name="Ritardo" dataDxfId="5">
      <calculatedColumnFormula>IF(_xlfn.DAYS(IF(F2="",TODAY(),F2),A2)&gt;30,_xlfn.DAYS(IF(F2="",TODAY(),F2),A2)-30,0)</calculatedColumnFormula>
    </tableColumn>
    <tableColumn id="16385" xr3:uid="{2AB9FA44-A90B-46B1-8EEC-D93E094DA279}" name="ID Prestito" dataDxfId="4">
      <calculatedColumnFormula>I3+1</calculatedColumnFormula>
    </tableColumn>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printerSettings" Target="../printerSettings/printerSettings2.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D00869-7DFB-44B7-80C1-9B048B829E88}">
  <sheetPr codeName="Sheet1"/>
  <dimension ref="A1:L13"/>
  <sheetViews>
    <sheetView showGridLines="0" showRowColHeaders="0" tabSelected="1" zoomScaleNormal="100" workbookViewId="0">
      <selection activeCell="A2" sqref="A2"/>
    </sheetView>
  </sheetViews>
  <sheetFormatPr defaultColWidth="16.77734375" defaultRowHeight="14.4" x14ac:dyDescent="0.3"/>
  <sheetData>
    <row r="1" spans="1:12" ht="21" customHeight="1" x14ac:dyDescent="0.3">
      <c r="A1" s="4" t="s">
        <v>0</v>
      </c>
      <c r="B1" s="5" t="s">
        <v>1</v>
      </c>
      <c r="C1" s="5" t="s">
        <v>2</v>
      </c>
      <c r="D1" s="5" t="s">
        <v>3</v>
      </c>
      <c r="E1" s="5" t="s">
        <v>4</v>
      </c>
      <c r="F1" s="5" t="s">
        <v>5</v>
      </c>
      <c r="G1" s="5" t="s">
        <v>6</v>
      </c>
      <c r="H1" s="5" t="s">
        <v>7</v>
      </c>
      <c r="I1" s="5" t="s">
        <v>8</v>
      </c>
      <c r="J1" s="5" t="s">
        <v>9</v>
      </c>
      <c r="K1" s="6" t="s">
        <v>10</v>
      </c>
    </row>
    <row r="2" spans="1:12" x14ac:dyDescent="0.3">
      <c r="A2" s="2">
        <v>1</v>
      </c>
      <c r="B2" s="1">
        <v>4</v>
      </c>
      <c r="C2" s="1">
        <v>4</v>
      </c>
      <c r="D2" s="1">
        <v>5</v>
      </c>
      <c r="E2" s="1">
        <v>4</v>
      </c>
      <c r="F2" s="1">
        <v>5</v>
      </c>
      <c r="G2" s="1">
        <v>5</v>
      </c>
      <c r="H2" s="1">
        <v>4</v>
      </c>
      <c r="I2" s="1">
        <v>3</v>
      </c>
      <c r="J2" s="1">
        <v>5</v>
      </c>
      <c r="K2" s="3">
        <v>4</v>
      </c>
    </row>
    <row r="3" spans="1:12" x14ac:dyDescent="0.3">
      <c r="A3" s="2">
        <v>2</v>
      </c>
      <c r="B3" s="1">
        <v>2</v>
      </c>
      <c r="C3" s="1">
        <v>2</v>
      </c>
      <c r="D3" s="1">
        <v>3</v>
      </c>
      <c r="E3" s="1">
        <v>1</v>
      </c>
      <c r="F3" s="1">
        <v>3</v>
      </c>
      <c r="G3" s="1">
        <v>2</v>
      </c>
      <c r="H3" s="1">
        <v>5</v>
      </c>
      <c r="I3" s="1">
        <v>5</v>
      </c>
      <c r="J3" s="1">
        <v>5</v>
      </c>
      <c r="K3" s="3">
        <v>4</v>
      </c>
    </row>
    <row r="4" spans="1:12" x14ac:dyDescent="0.3">
      <c r="A4" s="2">
        <v>3</v>
      </c>
      <c r="B4" s="1">
        <v>4</v>
      </c>
      <c r="C4" s="1">
        <v>1</v>
      </c>
      <c r="D4" s="1">
        <v>3</v>
      </c>
      <c r="E4" s="1">
        <v>5</v>
      </c>
      <c r="F4" s="1">
        <v>3</v>
      </c>
      <c r="G4" s="1">
        <v>5</v>
      </c>
      <c r="H4" s="1">
        <v>2</v>
      </c>
      <c r="I4" s="1">
        <v>2</v>
      </c>
      <c r="J4" s="1">
        <v>3</v>
      </c>
      <c r="K4" s="3">
        <v>4</v>
      </c>
    </row>
    <row r="5" spans="1:12" x14ac:dyDescent="0.3">
      <c r="A5" s="2">
        <v>4</v>
      </c>
      <c r="B5" s="1">
        <v>3</v>
      </c>
      <c r="C5" s="1">
        <v>2</v>
      </c>
      <c r="D5" s="1">
        <v>4</v>
      </c>
      <c r="E5" s="1">
        <v>2</v>
      </c>
      <c r="F5" s="1">
        <v>4</v>
      </c>
      <c r="G5" s="1">
        <v>4</v>
      </c>
      <c r="H5" s="1">
        <v>3</v>
      </c>
      <c r="I5" s="1">
        <v>4</v>
      </c>
      <c r="J5" s="1">
        <v>2</v>
      </c>
      <c r="K5" s="3">
        <v>1</v>
      </c>
    </row>
    <row r="6" spans="1:12" x14ac:dyDescent="0.3">
      <c r="A6" s="2">
        <v>5</v>
      </c>
      <c r="B6" s="1">
        <v>3</v>
      </c>
      <c r="C6" s="1">
        <v>3</v>
      </c>
      <c r="D6" s="1">
        <v>4</v>
      </c>
      <c r="E6" s="1">
        <v>2</v>
      </c>
      <c r="F6" s="1">
        <v>5</v>
      </c>
      <c r="G6" s="1">
        <v>3</v>
      </c>
      <c r="H6" s="1">
        <v>4</v>
      </c>
      <c r="I6" s="1">
        <v>3</v>
      </c>
      <c r="J6" s="1">
        <v>4</v>
      </c>
      <c r="K6" s="3">
        <v>3</v>
      </c>
    </row>
    <row r="7" spans="1:12" x14ac:dyDescent="0.3">
      <c r="A7" s="2">
        <v>6</v>
      </c>
      <c r="B7" s="1">
        <v>2</v>
      </c>
      <c r="C7" s="1">
        <v>3</v>
      </c>
      <c r="D7" s="1">
        <v>2</v>
      </c>
      <c r="E7" s="1">
        <v>3</v>
      </c>
      <c r="F7" s="1">
        <v>2</v>
      </c>
      <c r="G7" s="1">
        <v>3</v>
      </c>
      <c r="H7" s="1">
        <v>3</v>
      </c>
      <c r="I7" s="1">
        <v>4</v>
      </c>
      <c r="J7" s="1">
        <v>1</v>
      </c>
      <c r="K7" s="3">
        <v>3</v>
      </c>
    </row>
    <row r="8" spans="1:12" x14ac:dyDescent="0.3">
      <c r="A8" s="2">
        <v>7</v>
      </c>
      <c r="B8" s="1">
        <v>1</v>
      </c>
      <c r="C8" s="1">
        <v>1</v>
      </c>
      <c r="D8" s="1">
        <v>1</v>
      </c>
      <c r="E8" s="1">
        <v>2</v>
      </c>
      <c r="F8" s="1">
        <v>4</v>
      </c>
      <c r="G8" s="1">
        <v>4</v>
      </c>
      <c r="H8" s="1">
        <v>4</v>
      </c>
      <c r="I8" s="1">
        <v>1</v>
      </c>
      <c r="J8" s="1">
        <v>1</v>
      </c>
      <c r="K8" s="3">
        <v>3</v>
      </c>
    </row>
    <row r="9" spans="1:12" x14ac:dyDescent="0.3">
      <c r="A9" s="2">
        <v>8</v>
      </c>
      <c r="B9" s="1">
        <v>2</v>
      </c>
      <c r="C9" s="1">
        <v>5</v>
      </c>
      <c r="D9" s="1">
        <v>4</v>
      </c>
      <c r="E9" s="1">
        <v>3</v>
      </c>
      <c r="F9" s="1">
        <v>2</v>
      </c>
      <c r="G9" s="1">
        <v>3</v>
      </c>
      <c r="H9" s="1">
        <v>4</v>
      </c>
      <c r="I9" s="1">
        <v>5</v>
      </c>
      <c r="J9" s="1">
        <v>4</v>
      </c>
      <c r="K9" s="3">
        <v>2</v>
      </c>
    </row>
    <row r="10" spans="1:12" x14ac:dyDescent="0.3">
      <c r="A10" s="2">
        <v>9</v>
      </c>
      <c r="B10" s="1">
        <v>3</v>
      </c>
      <c r="C10" s="1">
        <v>4</v>
      </c>
      <c r="D10" s="1">
        <v>3</v>
      </c>
      <c r="E10" s="1">
        <v>3</v>
      </c>
      <c r="F10" s="1">
        <v>5</v>
      </c>
      <c r="G10" s="1">
        <v>5</v>
      </c>
      <c r="H10" s="1">
        <v>3</v>
      </c>
      <c r="I10" s="1">
        <v>2</v>
      </c>
      <c r="J10" s="1">
        <v>3</v>
      </c>
      <c r="K10" s="3">
        <v>3</v>
      </c>
    </row>
    <row r="11" spans="1:12" x14ac:dyDescent="0.3">
      <c r="A11" s="2">
        <v>10</v>
      </c>
      <c r="B11" s="1">
        <v>1</v>
      </c>
      <c r="C11" s="1">
        <v>5</v>
      </c>
      <c r="D11" s="1">
        <v>5</v>
      </c>
      <c r="E11" s="1">
        <v>2</v>
      </c>
      <c r="F11" s="1">
        <v>4</v>
      </c>
      <c r="G11" s="1">
        <v>3</v>
      </c>
      <c r="H11" s="1">
        <v>5</v>
      </c>
      <c r="I11" s="1">
        <v>5</v>
      </c>
      <c r="J11" s="1">
        <v>2</v>
      </c>
      <c r="K11" s="3">
        <v>4</v>
      </c>
    </row>
    <row r="12" spans="1:12" x14ac:dyDescent="0.3">
      <c r="A12" s="7">
        <v>11</v>
      </c>
      <c r="B12" s="8">
        <v>3</v>
      </c>
      <c r="C12" s="8">
        <v>2</v>
      </c>
      <c r="D12" s="8">
        <v>5</v>
      </c>
      <c r="E12" s="8">
        <v>3</v>
      </c>
      <c r="F12" s="8">
        <v>5</v>
      </c>
      <c r="G12" s="8">
        <v>3</v>
      </c>
      <c r="H12" s="8">
        <v>2</v>
      </c>
      <c r="I12" s="8">
        <v>3</v>
      </c>
      <c r="J12" s="8">
        <v>4</v>
      </c>
      <c r="K12" s="9">
        <v>5</v>
      </c>
    </row>
    <row r="13" spans="1:12" x14ac:dyDescent="0.3">
      <c r="B13" s="25">
        <f t="shared" ref="B13:K13" si="0">AVERAGE(B2:B12)</f>
        <v>2.5454545454545454</v>
      </c>
      <c r="C13" s="25">
        <f t="shared" si="0"/>
        <v>2.9090909090909092</v>
      </c>
      <c r="D13" s="25">
        <f t="shared" si="0"/>
        <v>3.5454545454545454</v>
      </c>
      <c r="E13" s="25">
        <f t="shared" si="0"/>
        <v>2.7272727272727271</v>
      </c>
      <c r="F13" s="25">
        <f t="shared" si="0"/>
        <v>3.8181818181818183</v>
      </c>
      <c r="G13" s="25">
        <f t="shared" si="0"/>
        <v>3.6363636363636362</v>
      </c>
      <c r="H13" s="25">
        <f t="shared" si="0"/>
        <v>3.5454545454545454</v>
      </c>
      <c r="I13" s="25">
        <f t="shared" si="0"/>
        <v>3.3636363636363638</v>
      </c>
      <c r="J13" s="25">
        <f t="shared" si="0"/>
        <v>3.0909090909090908</v>
      </c>
      <c r="K13" s="25">
        <f t="shared" si="0"/>
        <v>3.2727272727272729</v>
      </c>
      <c r="L13" s="1" t="s">
        <v>11</v>
      </c>
    </row>
  </sheetData>
  <phoneticPr fontId="2" type="noConversion"/>
  <conditionalFormatting sqref="B2:K13">
    <cfRule type="colorScale" priority="1">
      <colorScale>
        <cfvo type="min"/>
        <cfvo type="percentile" val="50"/>
        <cfvo type="max"/>
        <color rgb="FFF8696B"/>
        <color rgb="FFFFEB84"/>
        <color rgb="FF63BE7B"/>
      </colorScale>
    </cfRule>
  </conditionalFormatting>
  <pageMargins left="0.7" right="0.7" top="0.75" bottom="0.75" header="0.3" footer="0.3"/>
  <pageSetup paperSize="24" orientation="landscape"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D5208-AF09-4543-8910-F2CE663E1E62}">
  <sheetPr codeName="Sheet2"/>
  <dimension ref="A1:J12"/>
  <sheetViews>
    <sheetView showGridLines="0" showRowColHeaders="0" zoomScale="110" zoomScaleNormal="110" workbookViewId="0">
      <selection activeCell="A2" sqref="A2"/>
    </sheetView>
  </sheetViews>
  <sheetFormatPr defaultColWidth="19.109375" defaultRowHeight="14.4" x14ac:dyDescent="0.3"/>
  <cols>
    <col min="1" max="1" width="15.88671875" customWidth="1"/>
    <col min="2" max="2" width="19" customWidth="1"/>
    <col min="6" max="6" width="20.33203125" customWidth="1"/>
    <col min="9" max="9" width="19.77734375" customWidth="1"/>
  </cols>
  <sheetData>
    <row r="1" spans="1:10" x14ac:dyDescent="0.3">
      <c r="A1" t="s">
        <v>0</v>
      </c>
      <c r="B1" t="s">
        <v>12</v>
      </c>
      <c r="C1" t="s">
        <v>13</v>
      </c>
      <c r="D1" t="s">
        <v>14</v>
      </c>
      <c r="E1" t="s">
        <v>15</v>
      </c>
      <c r="F1" t="s">
        <v>16</v>
      </c>
      <c r="G1" t="s">
        <v>17</v>
      </c>
      <c r="H1" t="s">
        <v>49</v>
      </c>
      <c r="I1" t="s">
        <v>54</v>
      </c>
      <c r="J1" t="s">
        <v>18</v>
      </c>
    </row>
    <row r="2" spans="1:10" x14ac:dyDescent="0.3">
      <c r="A2">
        <v>1</v>
      </c>
      <c r="B2">
        <v>0</v>
      </c>
      <c r="C2" t="s">
        <v>19</v>
      </c>
      <c r="D2" t="s">
        <v>20</v>
      </c>
      <c r="E2" s="10">
        <v>22622</v>
      </c>
      <c r="F2" t="s">
        <v>39</v>
      </c>
      <c r="G2" t="s">
        <v>48</v>
      </c>
      <c r="H2" t="s">
        <v>39</v>
      </c>
      <c r="I2" t="s">
        <v>58</v>
      </c>
      <c r="J2">
        <v>3353368209</v>
      </c>
    </row>
    <row r="3" spans="1:10" x14ac:dyDescent="0.3">
      <c r="A3">
        <v>2</v>
      </c>
      <c r="B3">
        <v>1</v>
      </c>
      <c r="C3" t="s">
        <v>21</v>
      </c>
      <c r="D3" t="s">
        <v>22</v>
      </c>
      <c r="E3" s="10">
        <v>21279</v>
      </c>
      <c r="F3" t="s">
        <v>42</v>
      </c>
      <c r="G3" t="s">
        <v>48</v>
      </c>
      <c r="H3" t="s">
        <v>38</v>
      </c>
      <c r="I3" t="s">
        <v>59</v>
      </c>
      <c r="J3">
        <v>3477802732</v>
      </c>
    </row>
    <row r="4" spans="1:10" x14ac:dyDescent="0.3">
      <c r="A4">
        <v>3</v>
      </c>
      <c r="B4">
        <v>1</v>
      </c>
      <c r="C4" t="s">
        <v>23</v>
      </c>
      <c r="D4" t="s">
        <v>24</v>
      </c>
      <c r="E4" s="10">
        <v>28558</v>
      </c>
      <c r="F4" t="s">
        <v>38</v>
      </c>
      <c r="G4" t="s">
        <v>48</v>
      </c>
      <c r="H4" t="s">
        <v>38</v>
      </c>
      <c r="I4" t="s">
        <v>61</v>
      </c>
      <c r="J4">
        <v>3480579087</v>
      </c>
    </row>
    <row r="5" spans="1:10" x14ac:dyDescent="0.3">
      <c r="A5">
        <v>4</v>
      </c>
      <c r="B5">
        <v>2</v>
      </c>
      <c r="C5" t="s">
        <v>25</v>
      </c>
      <c r="D5" t="s">
        <v>26</v>
      </c>
      <c r="E5" s="10">
        <v>32255</v>
      </c>
      <c r="F5" t="s">
        <v>50</v>
      </c>
      <c r="G5" t="s">
        <v>48</v>
      </c>
      <c r="H5" t="s">
        <v>38</v>
      </c>
      <c r="I5" t="s">
        <v>62</v>
      </c>
      <c r="J5">
        <v>3460367949</v>
      </c>
    </row>
    <row r="6" spans="1:10" x14ac:dyDescent="0.3">
      <c r="A6">
        <v>5</v>
      </c>
      <c r="B6">
        <v>1</v>
      </c>
      <c r="C6" t="s">
        <v>27</v>
      </c>
      <c r="D6" t="s">
        <v>28</v>
      </c>
      <c r="E6" s="10">
        <v>28335</v>
      </c>
      <c r="F6" t="s">
        <v>43</v>
      </c>
      <c r="G6" t="s">
        <v>48</v>
      </c>
      <c r="H6" t="s">
        <v>38</v>
      </c>
      <c r="I6" t="s">
        <v>63</v>
      </c>
      <c r="J6">
        <v>3332420953</v>
      </c>
    </row>
    <row r="7" spans="1:10" x14ac:dyDescent="0.3">
      <c r="A7">
        <v>6</v>
      </c>
      <c r="B7">
        <v>1</v>
      </c>
      <c r="C7" t="s">
        <v>29</v>
      </c>
      <c r="D7" t="s">
        <v>30</v>
      </c>
      <c r="E7" s="10">
        <v>24794</v>
      </c>
      <c r="F7" t="s">
        <v>53</v>
      </c>
      <c r="G7" t="s">
        <v>48</v>
      </c>
      <c r="H7" t="s">
        <v>38</v>
      </c>
      <c r="I7" t="s">
        <v>65</v>
      </c>
      <c r="J7">
        <v>3351623247</v>
      </c>
    </row>
    <row r="8" spans="1:10" x14ac:dyDescent="0.3">
      <c r="A8">
        <v>7</v>
      </c>
      <c r="B8">
        <v>1</v>
      </c>
      <c r="C8" t="s">
        <v>31</v>
      </c>
      <c r="D8" t="s">
        <v>51</v>
      </c>
      <c r="E8" s="10">
        <v>33372</v>
      </c>
      <c r="F8" t="s">
        <v>52</v>
      </c>
      <c r="G8" t="s">
        <v>48</v>
      </c>
      <c r="H8" t="s">
        <v>38</v>
      </c>
      <c r="I8" t="s">
        <v>60</v>
      </c>
      <c r="J8">
        <v>3473026760</v>
      </c>
    </row>
    <row r="9" spans="1:10" x14ac:dyDescent="0.3">
      <c r="A9">
        <v>8</v>
      </c>
      <c r="B9">
        <v>1</v>
      </c>
      <c r="C9" t="s">
        <v>32</v>
      </c>
      <c r="D9" t="s">
        <v>33</v>
      </c>
      <c r="E9" s="10">
        <v>25267</v>
      </c>
      <c r="F9" t="s">
        <v>40</v>
      </c>
      <c r="G9" t="s">
        <v>48</v>
      </c>
      <c r="H9" t="s">
        <v>40</v>
      </c>
      <c r="I9" t="s">
        <v>57</v>
      </c>
      <c r="J9">
        <v>3479777183</v>
      </c>
    </row>
    <row r="10" spans="1:10" x14ac:dyDescent="0.3">
      <c r="A10">
        <v>9</v>
      </c>
      <c r="B10">
        <v>1</v>
      </c>
      <c r="C10" t="s">
        <v>46</v>
      </c>
      <c r="D10" t="s">
        <v>47</v>
      </c>
      <c r="E10" s="10">
        <v>36585</v>
      </c>
      <c r="F10" t="s">
        <v>44</v>
      </c>
      <c r="G10" t="s">
        <v>45</v>
      </c>
      <c r="H10" t="s">
        <v>38</v>
      </c>
      <c r="I10" t="s">
        <v>56</v>
      </c>
      <c r="J10">
        <v>3477102731</v>
      </c>
    </row>
    <row r="11" spans="1:10" x14ac:dyDescent="0.3">
      <c r="A11">
        <v>10</v>
      </c>
      <c r="B11">
        <v>1</v>
      </c>
      <c r="C11" t="s">
        <v>36</v>
      </c>
      <c r="D11" t="s">
        <v>37</v>
      </c>
      <c r="E11" s="10">
        <v>37289</v>
      </c>
      <c r="F11" t="s">
        <v>41</v>
      </c>
      <c r="G11" t="s">
        <v>48</v>
      </c>
      <c r="H11" t="s">
        <v>38</v>
      </c>
      <c r="I11" t="s">
        <v>64</v>
      </c>
      <c r="J11">
        <v>3451153290</v>
      </c>
    </row>
    <row r="12" spans="1:10" x14ac:dyDescent="0.3">
      <c r="A12">
        <v>11</v>
      </c>
      <c r="B12">
        <v>2</v>
      </c>
      <c r="C12" t="s">
        <v>34</v>
      </c>
      <c r="D12" t="s">
        <v>35</v>
      </c>
      <c r="E12" s="10">
        <v>31482</v>
      </c>
      <c r="F12" t="s">
        <v>38</v>
      </c>
      <c r="G12" t="s">
        <v>48</v>
      </c>
      <c r="H12" t="s">
        <v>38</v>
      </c>
      <c r="I12" t="s">
        <v>55</v>
      </c>
      <c r="J12">
        <v>3489390183</v>
      </c>
    </row>
  </sheetData>
  <pageMargins left="0.7" right="0.7" top="0.75" bottom="0.75" header="0.3" footer="0.3"/>
  <ignoredErrors>
    <ignoredError sqref="B2:B12" calculatedColumn="1"/>
  </ignoredErrors>
  <legacyDrawing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3135C-60F4-4168-B045-A7B4195AE6D4}">
  <sheetPr codeName="Sheet3"/>
  <dimension ref="A1:L19"/>
  <sheetViews>
    <sheetView showGridLines="0" showRowColHeaders="0" zoomScaleNormal="100" workbookViewId="0">
      <selection activeCell="A2" sqref="A2"/>
    </sheetView>
  </sheetViews>
  <sheetFormatPr defaultColWidth="14.6640625" defaultRowHeight="14.4" x14ac:dyDescent="0.3"/>
  <cols>
    <col min="1" max="1" width="16.44140625" customWidth="1"/>
    <col min="2" max="2" width="10.5546875" customWidth="1"/>
    <col min="3" max="3" width="11.6640625" customWidth="1"/>
    <col min="4" max="4" width="15.5546875" customWidth="1"/>
    <col min="5" max="5" width="25.77734375" customWidth="1"/>
    <col min="6" max="6" width="12" customWidth="1"/>
    <col min="7" max="7" width="14.33203125" customWidth="1"/>
    <col min="8" max="8" width="14.77734375" customWidth="1"/>
    <col min="9" max="9" width="16.109375" customWidth="1"/>
    <col min="10" max="10" width="18.33203125" customWidth="1"/>
    <col min="11" max="11" width="18.6640625" customWidth="1"/>
    <col min="12" max="12" width="15.44140625" customWidth="1"/>
  </cols>
  <sheetData>
    <row r="1" spans="1:12" x14ac:dyDescent="0.3">
      <c r="A1" t="s">
        <v>66</v>
      </c>
      <c r="B1" t="s">
        <v>13</v>
      </c>
      <c r="C1" t="s">
        <v>14</v>
      </c>
      <c r="D1" t="s">
        <v>15</v>
      </c>
      <c r="E1" t="s">
        <v>67</v>
      </c>
      <c r="F1" t="s">
        <v>18</v>
      </c>
      <c r="G1" t="s">
        <v>68</v>
      </c>
      <c r="H1" t="s">
        <v>69</v>
      </c>
      <c r="I1" t="s">
        <v>70</v>
      </c>
      <c r="J1" t="s">
        <v>71</v>
      </c>
      <c r="K1" t="s">
        <v>115</v>
      </c>
      <c r="L1" t="s">
        <v>72</v>
      </c>
    </row>
    <row r="2" spans="1:12" x14ac:dyDescent="0.3">
      <c r="A2">
        <v>31968</v>
      </c>
      <c r="B2" t="s">
        <v>73</v>
      </c>
      <c r="C2" t="s">
        <v>74</v>
      </c>
      <c r="D2" s="10">
        <v>17355</v>
      </c>
      <c r="E2" t="s">
        <v>101</v>
      </c>
      <c r="F2">
        <v>3351208120</v>
      </c>
      <c r="G2" s="12">
        <f t="shared" ref="G2:G15" ca="1" si="0">IF(H2&gt;0,1,0)</f>
        <v>0</v>
      </c>
      <c r="H2">
        <f ca="1">IF(_xlfn.XLOOKUP(A2,PRESTITI!D:D,PRESTITI!F:F,"")="",_xlfn.XLOOKUP(A2,PRESTITI!D:D,PRESTITI!H:H,0,0,1),0)</f>
        <v>0</v>
      </c>
      <c r="I2" s="11">
        <f t="shared" ref="I2:I15" ca="1" si="1">IF(G2=1,(H2-3)+1,0)</f>
        <v>0</v>
      </c>
      <c r="J2" s="12">
        <f ca="1">IF(_xlfn.XLOOKUP(A2,PRESTITI!D:D,PRESTITI!H:H,0)&gt;30,IF(_xlfn.XLOOKUP(A2,PRESTITI!D:D,PRESTITI!F:F,"")="",60,IF(_xlfn.DAYS(TODAY(),_xlfn.XLOOKUP(A2,PRESTITI!D:D,PRESTITI!F:F))&lt;0,0,60-_xlfn.DAYS(TODAY(),_xlfn.XLOOKUP(A2,PRESTITI!D:D,PRESTITI!F:F)))),0)</f>
        <v>0</v>
      </c>
      <c r="K2">
        <f t="shared" ref="K2:K15" ca="1" si="2">IF(J2=0,1,0)</f>
        <v>1</v>
      </c>
      <c r="L2" s="12" t="str">
        <f>_xlfn.XLOOKUP(A2,PRESTITI!D:D,PRESTITI!B:B,"")</f>
        <v>1-A-87</v>
      </c>
    </row>
    <row r="3" spans="1:12" x14ac:dyDescent="0.3">
      <c r="A3">
        <v>5463</v>
      </c>
      <c r="B3" t="s">
        <v>75</v>
      </c>
      <c r="C3" t="s">
        <v>76</v>
      </c>
      <c r="D3" s="10">
        <v>24869</v>
      </c>
      <c r="E3" t="s">
        <v>111</v>
      </c>
      <c r="F3">
        <v>3385141697</v>
      </c>
      <c r="G3">
        <f t="shared" ca="1" si="0"/>
        <v>0</v>
      </c>
      <c r="H3">
        <f ca="1">IF(_xlfn.XLOOKUP(A3,PRESTITI!D:D,PRESTITI!F:F,"")="",_xlfn.XLOOKUP(A3,PRESTITI!D:D,PRESTITI!H:H,0,0,1),0)</f>
        <v>0</v>
      </c>
      <c r="I3" s="11">
        <f t="shared" ca="1" si="1"/>
        <v>0</v>
      </c>
      <c r="J3" s="12">
        <f ca="1">IF(_xlfn.XLOOKUP(A3,PRESTITI!D:D,PRESTITI!H:H,0)&gt;30,IF(_xlfn.XLOOKUP(A3,PRESTITI!D:D,PRESTITI!F:F,"")="",60,IF(_xlfn.DAYS(TODAY(),_xlfn.XLOOKUP(A3,PRESTITI!D:D,PRESTITI!F:F))&lt;0,0,60-_xlfn.DAYS(TODAY(),_xlfn.XLOOKUP(A3,PRESTITI!D:D,PRESTITI!F:F)))),0)</f>
        <v>0</v>
      </c>
      <c r="K3">
        <f t="shared" ca="1" si="2"/>
        <v>1</v>
      </c>
      <c r="L3" s="12" t="str">
        <f>_xlfn.XLOOKUP(A3,PRESTITI!D:D,PRESTITI!B:B,"")</f>
        <v>1-B-157</v>
      </c>
    </row>
    <row r="4" spans="1:12" x14ac:dyDescent="0.3">
      <c r="A4">
        <v>18639</v>
      </c>
      <c r="B4" t="s">
        <v>77</v>
      </c>
      <c r="C4" t="s">
        <v>78</v>
      </c>
      <c r="D4" s="10">
        <v>30728</v>
      </c>
      <c r="E4" t="s">
        <v>107</v>
      </c>
      <c r="F4">
        <v>3351557675</v>
      </c>
      <c r="G4">
        <f t="shared" ca="1" si="0"/>
        <v>0</v>
      </c>
      <c r="H4">
        <f ca="1">IF(_xlfn.XLOOKUP(A4,PRESTITI!D:D,PRESTITI!F:F,"")="",_xlfn.XLOOKUP(A4,PRESTITI!D:D,PRESTITI!H:H,0,0,1),0)</f>
        <v>0</v>
      </c>
      <c r="I4" s="11">
        <f t="shared" ca="1" si="1"/>
        <v>0</v>
      </c>
      <c r="J4" s="12">
        <f ca="1">IF(_xlfn.XLOOKUP(A4,PRESTITI!D:D,PRESTITI!H:H,0)&gt;30,IF(_xlfn.XLOOKUP(A4,PRESTITI!D:D,PRESTITI!F:F,"")="",60,IF(_xlfn.DAYS(TODAY(),_xlfn.XLOOKUP(A4,PRESTITI!D:D,PRESTITI!F:F))&lt;0,0,60-_xlfn.DAYS(TODAY(),_xlfn.XLOOKUP(A4,PRESTITI!D:D,PRESTITI!F:F)))),0)</f>
        <v>0</v>
      </c>
      <c r="K4">
        <f t="shared" ca="1" si="2"/>
        <v>1</v>
      </c>
      <c r="L4" s="12" t="str">
        <f>_xlfn.XLOOKUP(A4,PRESTITI!D:D,PRESTITI!B:B,"")</f>
        <v>1-A-87</v>
      </c>
    </row>
    <row r="5" spans="1:12" x14ac:dyDescent="0.3">
      <c r="A5">
        <v>12281</v>
      </c>
      <c r="B5" t="s">
        <v>79</v>
      </c>
      <c r="C5" t="s">
        <v>80</v>
      </c>
      <c r="D5" s="10">
        <v>19810</v>
      </c>
      <c r="E5" t="s">
        <v>108</v>
      </c>
      <c r="F5">
        <v>3371425047</v>
      </c>
      <c r="G5">
        <f t="shared" ca="1" si="0"/>
        <v>0</v>
      </c>
      <c r="H5">
        <f ca="1">IF(_xlfn.XLOOKUP(A5,PRESTITI!D:D,PRESTITI!F:F,"")="",_xlfn.XLOOKUP(A5,PRESTITI!D:D,PRESTITI!H:H,0,0,1),0)</f>
        <v>0</v>
      </c>
      <c r="I5" s="11">
        <f t="shared" ca="1" si="1"/>
        <v>0</v>
      </c>
      <c r="J5" s="12">
        <f ca="1">IF(_xlfn.XLOOKUP(A5,PRESTITI!D:D,PRESTITI!H:H,0)&gt;30,IF(_xlfn.XLOOKUP(A5,PRESTITI!D:D,PRESTITI!F:F,"")="",60,IF(_xlfn.DAYS(TODAY(),_xlfn.XLOOKUP(A5,PRESTITI!D:D,PRESTITI!F:F))&lt;0,0,60-_xlfn.DAYS(TODAY(),_xlfn.XLOOKUP(A5,PRESTITI!D:D,PRESTITI!F:F)))),0)</f>
        <v>0</v>
      </c>
      <c r="K5">
        <f t="shared" ca="1" si="2"/>
        <v>1</v>
      </c>
      <c r="L5" s="12" t="str">
        <f>_xlfn.XLOOKUP(A5,PRESTITI!D:D,PRESTITI!B:B,"")</f>
        <v>1-C-2124</v>
      </c>
    </row>
    <row r="6" spans="1:12" x14ac:dyDescent="0.3">
      <c r="A6">
        <v>15642</v>
      </c>
      <c r="B6" t="s">
        <v>81</v>
      </c>
      <c r="C6" t="s">
        <v>82</v>
      </c>
      <c r="D6" s="10">
        <v>33394</v>
      </c>
      <c r="E6" t="s">
        <v>110</v>
      </c>
      <c r="F6">
        <v>3474705665</v>
      </c>
      <c r="G6">
        <f t="shared" si="0"/>
        <v>0</v>
      </c>
      <c r="H6">
        <f>IF(_xlfn.XLOOKUP(A6,PRESTITI!D:D,PRESTITI!F:F,"")="",_xlfn.XLOOKUP(A6,PRESTITI!D:D,PRESTITI!H:H,0,0,1),0)</f>
        <v>0</v>
      </c>
      <c r="I6" s="11">
        <f t="shared" si="1"/>
        <v>0</v>
      </c>
      <c r="J6" s="12">
        <f ca="1">IF(_xlfn.XLOOKUP(A6,PRESTITI!D:D,PRESTITI!H:H,0)&gt;30,IF(_xlfn.XLOOKUP(A6,PRESTITI!D:D,PRESTITI!F:F,"")="",60,IF(_xlfn.DAYS(TODAY(),_xlfn.XLOOKUP(A6,PRESTITI!D:D,PRESTITI!F:F))&lt;0,0,60-_xlfn.DAYS(TODAY(),_xlfn.XLOOKUP(A6,PRESTITI!D:D,PRESTITI!F:F)))),0)</f>
        <v>0</v>
      </c>
      <c r="K6">
        <f t="shared" ca="1" si="2"/>
        <v>1</v>
      </c>
      <c r="L6" s="12" t="str">
        <f>_xlfn.XLOOKUP(A6,PRESTITI!D:D,PRESTITI!B:B,"")</f>
        <v/>
      </c>
    </row>
    <row r="7" spans="1:12" x14ac:dyDescent="0.3">
      <c r="A7">
        <v>28957</v>
      </c>
      <c r="B7" t="s">
        <v>83</v>
      </c>
      <c r="C7" t="s">
        <v>84</v>
      </c>
      <c r="D7" s="10">
        <v>34552</v>
      </c>
      <c r="E7" t="s">
        <v>109</v>
      </c>
      <c r="F7">
        <v>3382809060</v>
      </c>
      <c r="G7">
        <f t="shared" si="0"/>
        <v>0</v>
      </c>
      <c r="H7">
        <f>IF(_xlfn.XLOOKUP(A7,PRESTITI!D:D,PRESTITI!F:F,"")="",_xlfn.XLOOKUP(A7,PRESTITI!D:D,PRESTITI!H:H,0,0,1),0)</f>
        <v>0</v>
      </c>
      <c r="I7" s="11">
        <f t="shared" si="1"/>
        <v>0</v>
      </c>
      <c r="J7" s="12">
        <f ca="1">IF(_xlfn.XLOOKUP(A7,PRESTITI!D:D,PRESTITI!H:H,0)&gt;30,IF(_xlfn.XLOOKUP(A7,PRESTITI!D:D,PRESTITI!F:F,"")="",60,IF(_xlfn.DAYS(TODAY(),_xlfn.XLOOKUP(A7,PRESTITI!D:D,PRESTITI!F:F))&lt;0,0,60-_xlfn.DAYS(TODAY(),_xlfn.XLOOKUP(A7,PRESTITI!D:D,PRESTITI!F:F)))),0)</f>
        <v>0</v>
      </c>
      <c r="K7">
        <f t="shared" ca="1" si="2"/>
        <v>1</v>
      </c>
      <c r="L7" s="12" t="str">
        <f>_xlfn.XLOOKUP(A7,PRESTITI!D:D,PRESTITI!B:B,"")</f>
        <v>2-B-9987</v>
      </c>
    </row>
    <row r="8" spans="1:12" x14ac:dyDescent="0.3">
      <c r="A8">
        <v>32855</v>
      </c>
      <c r="B8" t="s">
        <v>85</v>
      </c>
      <c r="C8" t="s">
        <v>86</v>
      </c>
      <c r="D8" s="10">
        <v>36892</v>
      </c>
      <c r="E8" t="s">
        <v>102</v>
      </c>
      <c r="F8">
        <v>3489888381</v>
      </c>
      <c r="G8">
        <f t="shared" ca="1" si="0"/>
        <v>1</v>
      </c>
      <c r="H8">
        <f ca="1">IF(_xlfn.XLOOKUP(A8,PRESTITI!D:D,PRESTITI!F:F,"")="",_xlfn.XLOOKUP(A8,PRESTITI!D:D,PRESTITI!H:H,0,0,1),0)</f>
        <v>46</v>
      </c>
      <c r="I8" s="11">
        <f t="shared" ca="1" si="1"/>
        <v>44</v>
      </c>
      <c r="J8" s="12">
        <f ca="1">IF(_xlfn.XLOOKUP(A8,PRESTITI!D:D,PRESTITI!H:H,0)&gt;30,IF(_xlfn.XLOOKUP(A8,PRESTITI!D:D,PRESTITI!F:F,"")="",60,IF(_xlfn.DAYS(TODAY(),_xlfn.XLOOKUP(A8,PRESTITI!D:D,PRESTITI!F:F))&lt;0,0,60-_xlfn.DAYS(TODAY(),_xlfn.XLOOKUP(A8,PRESTITI!D:D,PRESTITI!F:F)))),0)</f>
        <v>60</v>
      </c>
      <c r="K8">
        <f t="shared" ca="1" si="2"/>
        <v>0</v>
      </c>
      <c r="L8" s="12" t="str">
        <f>_xlfn.XLOOKUP(A8,PRESTITI!D:D,PRESTITI!B:B,"")</f>
        <v>1-C-2424</v>
      </c>
    </row>
    <row r="9" spans="1:12" x14ac:dyDescent="0.3">
      <c r="A9">
        <v>31947</v>
      </c>
      <c r="B9" t="s">
        <v>87</v>
      </c>
      <c r="C9" t="s">
        <v>88</v>
      </c>
      <c r="D9" s="10">
        <v>22375</v>
      </c>
      <c r="E9" t="s">
        <v>114</v>
      </c>
      <c r="F9">
        <v>3386392440</v>
      </c>
      <c r="G9">
        <f t="shared" si="0"/>
        <v>0</v>
      </c>
      <c r="H9">
        <f>IF(_xlfn.XLOOKUP(A9,PRESTITI!D:D,PRESTITI!F:F,"")="",_xlfn.XLOOKUP(A9,PRESTITI!D:D,PRESTITI!H:H,0,0,1),0)</f>
        <v>0</v>
      </c>
      <c r="I9" s="11">
        <f t="shared" si="1"/>
        <v>0</v>
      </c>
      <c r="J9" s="12">
        <f ca="1">IF(_xlfn.XLOOKUP(A9,PRESTITI!D:D,PRESTITI!H:H,0)&gt;30,IF(_xlfn.XLOOKUP(A9,PRESTITI!D:D,PRESTITI!F:F,"")="",60,IF(_xlfn.DAYS(TODAY(),_xlfn.XLOOKUP(A9,PRESTITI!D:D,PRESTITI!F:F))&lt;0,0,60-_xlfn.DAYS(TODAY(),_xlfn.XLOOKUP(A9,PRESTITI!D:D,PRESTITI!F:F)))),0)</f>
        <v>0</v>
      </c>
      <c r="K9">
        <f t="shared" ca="1" si="2"/>
        <v>1</v>
      </c>
      <c r="L9" s="12" t="str">
        <f>_xlfn.XLOOKUP(A9,PRESTITI!D:D,PRESTITI!B:B,"")</f>
        <v>1-B-157</v>
      </c>
    </row>
    <row r="10" spans="1:12" x14ac:dyDescent="0.3">
      <c r="A10">
        <v>13114</v>
      </c>
      <c r="B10" t="s">
        <v>89</v>
      </c>
      <c r="C10" t="s">
        <v>90</v>
      </c>
      <c r="D10" s="10">
        <v>36494</v>
      </c>
      <c r="E10" t="s">
        <v>105</v>
      </c>
      <c r="F10">
        <v>3374484774</v>
      </c>
      <c r="G10">
        <f t="shared" ca="1" si="0"/>
        <v>0</v>
      </c>
      <c r="H10">
        <f ca="1">IF(_xlfn.XLOOKUP(A10,PRESTITI!D:D,PRESTITI!F:F,"")="",_xlfn.XLOOKUP(A10,PRESTITI!D:D,PRESTITI!H:H,0,0,1),0)</f>
        <v>0</v>
      </c>
      <c r="I10" s="11">
        <f t="shared" ca="1" si="1"/>
        <v>0</v>
      </c>
      <c r="J10" s="12">
        <f ca="1">IF(_xlfn.XLOOKUP(A10,PRESTITI!D:D,PRESTITI!H:H,0)&gt;30,IF(_xlfn.XLOOKUP(A10,PRESTITI!D:D,PRESTITI!F:F,"")="",60,IF(_xlfn.DAYS(TODAY(),_xlfn.XLOOKUP(A10,PRESTITI!D:D,PRESTITI!F:F))&lt;0,0,60-_xlfn.DAYS(TODAY(),_xlfn.XLOOKUP(A10,PRESTITI!D:D,PRESTITI!F:F)))),0)</f>
        <v>0</v>
      </c>
      <c r="K10">
        <f t="shared" ca="1" si="2"/>
        <v>1</v>
      </c>
      <c r="L10" s="12" t="str">
        <f>_xlfn.XLOOKUP(A10,PRESTITI!D:D,PRESTITI!B:B,"")</f>
        <v>1-C-742</v>
      </c>
    </row>
    <row r="11" spans="1:12" x14ac:dyDescent="0.3">
      <c r="A11">
        <v>6216</v>
      </c>
      <c r="B11" t="s">
        <v>89</v>
      </c>
      <c r="C11" t="s">
        <v>91</v>
      </c>
      <c r="D11" s="10">
        <v>37713</v>
      </c>
      <c r="E11" t="s">
        <v>113</v>
      </c>
      <c r="F11">
        <v>3490134452</v>
      </c>
      <c r="G11">
        <f t="shared" ca="1" si="0"/>
        <v>0</v>
      </c>
      <c r="H11">
        <f ca="1">IF(_xlfn.XLOOKUP(A11,PRESTITI!D:D,PRESTITI!F:F,"")="",_xlfn.XLOOKUP(A11,PRESTITI!D:D,PRESTITI!H:H,0,0,1),0)</f>
        <v>0</v>
      </c>
      <c r="I11" s="11">
        <f t="shared" ca="1" si="1"/>
        <v>0</v>
      </c>
      <c r="J11" s="12">
        <f ca="1">IF(_xlfn.XLOOKUP(A11,PRESTITI!D:D,PRESTITI!H:H,0)&gt;30,IF(_xlfn.XLOOKUP(A11,PRESTITI!D:D,PRESTITI!F:F,"")="",60,IF(_xlfn.DAYS(TODAY(),_xlfn.XLOOKUP(A11,PRESTITI!D:D,PRESTITI!F:F))&lt;0,0,60-_xlfn.DAYS(TODAY(),_xlfn.XLOOKUP(A11,PRESTITI!D:D,PRESTITI!F:F)))),0)</f>
        <v>0</v>
      </c>
      <c r="K11">
        <f t="shared" ca="1" si="2"/>
        <v>1</v>
      </c>
      <c r="L11" s="12" t="str">
        <f>_xlfn.XLOOKUP(A11,PRESTITI!D:D,PRESTITI!B:B,"")</f>
        <v>1-A-784</v>
      </c>
    </row>
    <row r="12" spans="1:12" x14ac:dyDescent="0.3">
      <c r="A12">
        <v>17017</v>
      </c>
      <c r="B12" t="s">
        <v>92</v>
      </c>
      <c r="C12" t="s">
        <v>93</v>
      </c>
      <c r="D12" s="10">
        <v>26791</v>
      </c>
      <c r="E12" t="s">
        <v>106</v>
      </c>
      <c r="F12">
        <v>3351322258</v>
      </c>
      <c r="G12">
        <f t="shared" ca="1" si="0"/>
        <v>0</v>
      </c>
      <c r="H12">
        <f ca="1">IF(_xlfn.XLOOKUP(A12,PRESTITI!D:D,PRESTITI!F:F,"")="",_xlfn.XLOOKUP(A12,PRESTITI!D:D,PRESTITI!H:H,0,0,1),0)</f>
        <v>0</v>
      </c>
      <c r="I12" s="11">
        <f t="shared" ca="1" si="1"/>
        <v>0</v>
      </c>
      <c r="J12" s="12">
        <f ca="1">IF(_xlfn.XLOOKUP(A12,PRESTITI!D:D,PRESTITI!H:H,0)&gt;30,IF(_xlfn.XLOOKUP(A12,PRESTITI!D:D,PRESTITI!F:F,"")="",60,IF(_xlfn.DAYS(TODAY(),_xlfn.XLOOKUP(A12,PRESTITI!D:D,PRESTITI!F:F))&lt;0,0,60-_xlfn.DAYS(TODAY(),_xlfn.XLOOKUP(A12,PRESTITI!D:D,PRESTITI!F:F)))),0)</f>
        <v>0</v>
      </c>
      <c r="K12">
        <f t="shared" ca="1" si="2"/>
        <v>1</v>
      </c>
      <c r="L12" s="12" t="str">
        <f>_xlfn.XLOOKUP(A12,PRESTITI!D:D,PRESTITI!B:B,"")</f>
        <v>2-C-3337</v>
      </c>
    </row>
    <row r="13" spans="1:12" x14ac:dyDescent="0.3">
      <c r="A13">
        <v>5077</v>
      </c>
      <c r="B13" t="s">
        <v>94</v>
      </c>
      <c r="C13" t="s">
        <v>95</v>
      </c>
      <c r="D13" s="10">
        <v>21817</v>
      </c>
      <c r="E13" t="s">
        <v>104</v>
      </c>
      <c r="F13">
        <v>3359774402</v>
      </c>
      <c r="G13">
        <f t="shared" ca="1" si="0"/>
        <v>0</v>
      </c>
      <c r="H13">
        <f ca="1">IF(_xlfn.XLOOKUP(A13,PRESTITI!D:D,PRESTITI!F:F,"")="",_xlfn.XLOOKUP(A13,PRESTITI!D:D,PRESTITI!H:H,0,0,1),0)</f>
        <v>0</v>
      </c>
      <c r="I13" s="11">
        <f t="shared" ca="1" si="1"/>
        <v>0</v>
      </c>
      <c r="J13" s="12">
        <f ca="1">IF(_xlfn.XLOOKUP(A13,PRESTITI!D:D,PRESTITI!H:H,0)&gt;30,IF(_xlfn.XLOOKUP(A13,PRESTITI!D:D,PRESTITI!F:F,"")="",60,IF(_xlfn.DAYS(TODAY(),_xlfn.XLOOKUP(A13,PRESTITI!D:D,PRESTITI!F:F))&lt;0,0,60-_xlfn.DAYS(TODAY(),_xlfn.XLOOKUP(A13,PRESTITI!D:D,PRESTITI!F:F)))),0)</f>
        <v>0</v>
      </c>
      <c r="K13">
        <f t="shared" ca="1" si="2"/>
        <v>1</v>
      </c>
      <c r="L13" s="12" t="str">
        <f>_xlfn.XLOOKUP(A13,PRESTITI!D:D,PRESTITI!B:B,"")</f>
        <v>1-B-2000</v>
      </c>
    </row>
    <row r="14" spans="1:12" x14ac:dyDescent="0.3">
      <c r="A14">
        <v>33320</v>
      </c>
      <c r="B14" t="s">
        <v>96</v>
      </c>
      <c r="C14" t="s">
        <v>97</v>
      </c>
      <c r="D14" s="10">
        <v>24327</v>
      </c>
      <c r="E14" t="s">
        <v>112</v>
      </c>
      <c r="F14">
        <v>3345731144</v>
      </c>
      <c r="G14">
        <f t="shared" ca="1" si="0"/>
        <v>0</v>
      </c>
      <c r="H14">
        <f ca="1">IF(_xlfn.XLOOKUP(A14,PRESTITI!D:D,PRESTITI!F:F,"")="",_xlfn.XLOOKUP(A14,PRESTITI!D:D,PRESTITI!H:H,0,0,1),0)</f>
        <v>0</v>
      </c>
      <c r="I14" s="11">
        <f t="shared" ca="1" si="1"/>
        <v>0</v>
      </c>
      <c r="J14" s="12">
        <f ca="1">IF(_xlfn.XLOOKUP(A14,PRESTITI!D:D,PRESTITI!H:H,0)&gt;30,IF(_xlfn.XLOOKUP(A14,PRESTITI!D:D,PRESTITI!F:F,"")="",60,IF(_xlfn.DAYS(TODAY(),_xlfn.XLOOKUP(A14,PRESTITI!D:D,PRESTITI!F:F))&lt;0,0,60-_xlfn.DAYS(TODAY(),_xlfn.XLOOKUP(A14,PRESTITI!D:D,PRESTITI!F:F)))),0)</f>
        <v>0</v>
      </c>
      <c r="K14">
        <f t="shared" ca="1" si="2"/>
        <v>1</v>
      </c>
      <c r="L14" s="12" t="str">
        <f>_xlfn.XLOOKUP(A14,PRESTITI!D:D,PRESTITI!B:B,"")</f>
        <v>1-C-741</v>
      </c>
    </row>
    <row r="15" spans="1:12" x14ac:dyDescent="0.3">
      <c r="A15">
        <v>17306</v>
      </c>
      <c r="B15" t="s">
        <v>98</v>
      </c>
      <c r="C15" t="s">
        <v>99</v>
      </c>
      <c r="D15" s="10">
        <v>13942</v>
      </c>
      <c r="E15" t="s">
        <v>103</v>
      </c>
      <c r="F15">
        <v>3386696593</v>
      </c>
      <c r="G15">
        <f t="shared" ca="1" si="0"/>
        <v>0</v>
      </c>
      <c r="H15">
        <f ca="1">IF(_xlfn.XLOOKUP(A15,PRESTITI!D:D,PRESTITI!F:F,"")="",_xlfn.XLOOKUP(A15,PRESTITI!D:D,PRESTITI!H:H,0,0,1),0)</f>
        <v>0</v>
      </c>
      <c r="I15" s="11">
        <f t="shared" ca="1" si="1"/>
        <v>0</v>
      </c>
      <c r="J15" s="12">
        <f ca="1">IF(_xlfn.XLOOKUP(A15,PRESTITI!D:D,PRESTITI!H:H,0)&gt;30,IF(_xlfn.XLOOKUP(A15,PRESTITI!D:D,PRESTITI!F:F,"")="",60,IF(_xlfn.DAYS(TODAY(),_xlfn.XLOOKUP(A15,PRESTITI!D:D,PRESTITI!F:F))&lt;0,0,60-_xlfn.DAYS(TODAY(),_xlfn.XLOOKUP(A15,PRESTITI!D:D,PRESTITI!F:F)))),0)</f>
        <v>0</v>
      </c>
      <c r="K15">
        <f t="shared" ca="1" si="2"/>
        <v>1</v>
      </c>
      <c r="L15" s="12" t="str">
        <f>_xlfn.XLOOKUP(A15,PRESTITI!D:D,PRESTITI!B:B,"")</f>
        <v>2-B-31</v>
      </c>
    </row>
    <row r="16" spans="1:12" x14ac:dyDescent="0.3">
      <c r="L16" s="12"/>
    </row>
    <row r="17" spans="11:12" x14ac:dyDescent="0.3">
      <c r="L17" s="12"/>
    </row>
    <row r="19" spans="11:12" x14ac:dyDescent="0.3">
      <c r="K19" s="12"/>
    </row>
  </sheetData>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2E573-07AE-480E-BD43-6A630708F5E2}">
  <sheetPr codeName="Sheet4"/>
  <dimension ref="A1:M25"/>
  <sheetViews>
    <sheetView topLeftCell="A31" zoomScaleNormal="100" workbookViewId="0">
      <selection activeCell="K8" sqref="K8"/>
    </sheetView>
  </sheetViews>
  <sheetFormatPr defaultColWidth="23.77734375" defaultRowHeight="30" customHeight="1" x14ac:dyDescent="0.3"/>
  <cols>
    <col min="8" max="8" width="16.33203125" customWidth="1"/>
    <col min="9" max="9" width="13.77734375" customWidth="1"/>
    <col min="12" max="12" width="17.33203125" customWidth="1"/>
    <col min="13" max="13" width="21.33203125" customWidth="1"/>
  </cols>
  <sheetData>
    <row r="1" spans="1:13" ht="30" customHeight="1" x14ac:dyDescent="0.3">
      <c r="A1" t="s">
        <v>116</v>
      </c>
      <c r="B1" t="s">
        <v>117</v>
      </c>
      <c r="C1" t="s">
        <v>125</v>
      </c>
      <c r="D1" t="s">
        <v>118</v>
      </c>
      <c r="E1" t="s">
        <v>119</v>
      </c>
      <c r="F1" t="s">
        <v>152</v>
      </c>
      <c r="G1" t="s">
        <v>120</v>
      </c>
      <c r="H1" t="s">
        <v>161</v>
      </c>
      <c r="I1" t="s">
        <v>123</v>
      </c>
      <c r="J1" t="s">
        <v>121</v>
      </c>
      <c r="K1" t="s">
        <v>122</v>
      </c>
      <c r="L1" t="s">
        <v>124</v>
      </c>
      <c r="M1" t="s">
        <v>278</v>
      </c>
    </row>
    <row r="2" spans="1:13" ht="30" customHeight="1" x14ac:dyDescent="0.3">
      <c r="A2" s="13" t="s">
        <v>130</v>
      </c>
      <c r="B2" t="s">
        <v>126</v>
      </c>
      <c r="C2" t="s">
        <v>127</v>
      </c>
      <c r="D2" t="s">
        <v>129</v>
      </c>
      <c r="E2" t="s">
        <v>128</v>
      </c>
      <c r="F2" t="s">
        <v>156</v>
      </c>
      <c r="G2">
        <v>1997</v>
      </c>
      <c r="H2">
        <v>2</v>
      </c>
      <c r="I2">
        <v>64</v>
      </c>
      <c r="J2" s="14" t="s">
        <v>235</v>
      </c>
      <c r="K2" s="14" t="str">
        <f>IF(AND(_xlfn.XLOOKUP(J2,PRESTITI!B:B,PRESTITI!A:A,1),_xlfn.XLOOKUP(J2,PRESTITI!B:B,PRESTITI!F:F,0)&gt;0,1),"P-D",_xlfn.CONCAT("P-",_xlfn.XLOOKUP(J2,PRESTITI!B:B,PRESTITI!D:D,"D")))</f>
        <v>P-6216</v>
      </c>
      <c r="L2">
        <f>IF(K2="P-D",30,0)</f>
        <v>0</v>
      </c>
      <c r="M2">
        <f>COUNTIF(PRESTITI!B:B,J2)</f>
        <v>2</v>
      </c>
    </row>
    <row r="3" spans="1:13" ht="30" customHeight="1" x14ac:dyDescent="0.3">
      <c r="A3" s="13" t="s">
        <v>131</v>
      </c>
      <c r="B3" t="s">
        <v>134</v>
      </c>
      <c r="C3" t="s">
        <v>127</v>
      </c>
      <c r="D3" t="s">
        <v>133</v>
      </c>
      <c r="E3" t="s">
        <v>132</v>
      </c>
      <c r="F3" t="s">
        <v>133</v>
      </c>
      <c r="G3">
        <v>2023</v>
      </c>
      <c r="H3">
        <v>1</v>
      </c>
      <c r="I3">
        <v>208</v>
      </c>
      <c r="J3" s="14" t="s">
        <v>217</v>
      </c>
      <c r="K3" s="14" t="str">
        <f>IF(AND(_xlfn.XLOOKUP(J3,PRESTITI!B:B,PRESTITI!A:A,1),_xlfn.XLOOKUP(J3,PRESTITI!B:B,PRESTITI!F:F,0)&gt;0,1),"P-D",_xlfn.CONCAT("P-",_xlfn.XLOOKUP(J3,PRESTITI!B:B,PRESTITI!D:D,"D")))</f>
        <v>P-5463</v>
      </c>
      <c r="L3">
        <f t="shared" ref="L3:L24" si="0">IF(K3="P-D",30,0)</f>
        <v>0</v>
      </c>
      <c r="M3">
        <f>COUNTIF(PRESTITI!B:B,J3)</f>
        <v>2</v>
      </c>
    </row>
    <row r="4" spans="1:13" ht="30" customHeight="1" x14ac:dyDescent="0.3">
      <c r="A4" s="13" t="s">
        <v>138</v>
      </c>
      <c r="B4" t="s">
        <v>135</v>
      </c>
      <c r="C4" t="s">
        <v>136</v>
      </c>
      <c r="D4" t="s">
        <v>137</v>
      </c>
      <c r="E4" t="s">
        <v>140</v>
      </c>
      <c r="F4" t="s">
        <v>139</v>
      </c>
      <c r="G4">
        <v>2012</v>
      </c>
      <c r="H4" s="14" t="s">
        <v>163</v>
      </c>
      <c r="I4">
        <v>154</v>
      </c>
      <c r="J4" s="14" t="s">
        <v>218</v>
      </c>
      <c r="K4" s="14" t="str">
        <f>IF(AND(_xlfn.XLOOKUP(J4,PRESTITI!B:B,PRESTITI!A:A,1),_xlfn.XLOOKUP(J4,PRESTITI!B:B,PRESTITI!F:F,0)&gt;0,1),"P-D",_xlfn.CONCAT("P-",_xlfn.XLOOKUP(J4,PRESTITI!B:B,PRESTITI!D:D,"D")))</f>
        <v>P-D</v>
      </c>
      <c r="L4">
        <f t="shared" si="0"/>
        <v>30</v>
      </c>
      <c r="M4">
        <f>COUNTIF(PRESTITI!B:B,J4)</f>
        <v>2</v>
      </c>
    </row>
    <row r="5" spans="1:13" ht="30" customHeight="1" x14ac:dyDescent="0.3">
      <c r="A5" s="13" t="s">
        <v>141</v>
      </c>
      <c r="B5" t="s">
        <v>142</v>
      </c>
      <c r="C5" t="s">
        <v>127</v>
      </c>
      <c r="D5" t="s">
        <v>129</v>
      </c>
      <c r="E5" t="s">
        <v>143</v>
      </c>
      <c r="F5" t="s">
        <v>153</v>
      </c>
      <c r="G5">
        <v>2016</v>
      </c>
      <c r="H5">
        <v>2</v>
      </c>
      <c r="I5">
        <v>237</v>
      </c>
      <c r="J5" s="14" t="s">
        <v>219</v>
      </c>
      <c r="K5" s="14" t="str">
        <f>IF(AND(_xlfn.XLOOKUP(J5,PRESTITI!B:B,PRESTITI!A:A,1),_xlfn.XLOOKUP(J5,PRESTITI!B:B,PRESTITI!F:F,0)&gt;0,1),"P-D",_xlfn.CONCAT("P-",_xlfn.XLOOKUP(J5,PRESTITI!B:B,PRESTITI!D:D,"D")))</f>
        <v>P-32855</v>
      </c>
      <c r="L5">
        <f t="shared" si="0"/>
        <v>0</v>
      </c>
      <c r="M5">
        <f>COUNTIF(PRESTITI!B:B,J5)</f>
        <v>1</v>
      </c>
    </row>
    <row r="6" spans="1:13" ht="30" customHeight="1" x14ac:dyDescent="0.3">
      <c r="A6" s="13" t="s">
        <v>145</v>
      </c>
      <c r="B6" t="s">
        <v>146</v>
      </c>
      <c r="C6" t="s">
        <v>127</v>
      </c>
      <c r="D6" t="s">
        <v>147</v>
      </c>
      <c r="E6" t="s">
        <v>128</v>
      </c>
      <c r="F6" t="s">
        <v>157</v>
      </c>
      <c r="G6">
        <v>2005</v>
      </c>
      <c r="I6">
        <v>447</v>
      </c>
      <c r="J6" s="14" t="s">
        <v>223</v>
      </c>
      <c r="K6" s="14" t="str">
        <f>IF(AND(_xlfn.XLOOKUP(J6,PRESTITI!B:B,PRESTITI!A:A,1),_xlfn.XLOOKUP(J6,PRESTITI!B:B,PRESTITI!F:F,0)&gt;0,1),"P-D",_xlfn.CONCAT("P-",_xlfn.XLOOKUP(J6,PRESTITI!B:B,PRESTITI!D:D,"D")))</f>
        <v>P-D</v>
      </c>
      <c r="L6">
        <f t="shared" si="0"/>
        <v>30</v>
      </c>
      <c r="M6">
        <f>COUNTIF(PRESTITI!B:B,J6)</f>
        <v>1</v>
      </c>
    </row>
    <row r="7" spans="1:13" ht="30" customHeight="1" x14ac:dyDescent="0.3">
      <c r="A7" s="13" t="s">
        <v>149</v>
      </c>
      <c r="B7" t="s">
        <v>148</v>
      </c>
      <c r="C7" t="s">
        <v>136</v>
      </c>
      <c r="D7" t="s">
        <v>129</v>
      </c>
      <c r="E7" t="s">
        <v>155</v>
      </c>
      <c r="F7" t="s">
        <v>154</v>
      </c>
      <c r="G7">
        <v>2015</v>
      </c>
      <c r="I7">
        <v>400</v>
      </c>
      <c r="J7" s="14" t="s">
        <v>224</v>
      </c>
      <c r="K7" s="14" t="str">
        <f>IF(AND(_xlfn.XLOOKUP(J7,PRESTITI!B:B,PRESTITI!A:A,1),_xlfn.XLOOKUP(J7,PRESTITI!B:B,PRESTITI!F:F,0)&gt;0,1),"P-D",_xlfn.CONCAT("P-",_xlfn.XLOOKUP(J7,PRESTITI!B:B,PRESTITI!D:D,"D")))</f>
        <v>P-D</v>
      </c>
      <c r="L7">
        <f t="shared" si="0"/>
        <v>30</v>
      </c>
      <c r="M7">
        <f>COUNTIF(PRESTITI!B:B,J7)</f>
        <v>1</v>
      </c>
    </row>
    <row r="8" spans="1:13" ht="30" customHeight="1" x14ac:dyDescent="0.3">
      <c r="A8" s="13" t="s">
        <v>151</v>
      </c>
      <c r="B8" t="s">
        <v>148</v>
      </c>
      <c r="C8" t="s">
        <v>127</v>
      </c>
      <c r="D8" t="s">
        <v>129</v>
      </c>
      <c r="E8" t="s">
        <v>150</v>
      </c>
      <c r="F8" t="s">
        <v>158</v>
      </c>
      <c r="G8">
        <v>2013</v>
      </c>
      <c r="H8">
        <v>19</v>
      </c>
      <c r="I8">
        <v>336</v>
      </c>
      <c r="J8" s="14" t="s">
        <v>225</v>
      </c>
      <c r="K8" s="14" t="str">
        <f>IF(AND(_xlfn.XLOOKUP(J8,PRESTITI!B:B,PRESTITI!A:A,1),_xlfn.XLOOKUP(J8,PRESTITI!B:B,PRESTITI!F:F,0)&gt;0,1),"P-D",_xlfn.CONCAT("P-",_xlfn.XLOOKUP(J8,PRESTITI!B:B,PRESTITI!D:D,"D")))</f>
        <v>P-17306</v>
      </c>
      <c r="L8">
        <f t="shared" si="0"/>
        <v>0</v>
      </c>
      <c r="M8">
        <f>COUNTIF(PRESTITI!B:B,J8)</f>
        <v>2</v>
      </c>
    </row>
    <row r="9" spans="1:13" ht="30" customHeight="1" x14ac:dyDescent="0.3">
      <c r="A9" s="13" t="s">
        <v>159</v>
      </c>
      <c r="B9" t="s">
        <v>160</v>
      </c>
      <c r="C9" t="s">
        <v>127</v>
      </c>
      <c r="D9" t="s">
        <v>129</v>
      </c>
      <c r="E9" t="s">
        <v>128</v>
      </c>
      <c r="F9" t="s">
        <v>156</v>
      </c>
      <c r="G9">
        <v>1971</v>
      </c>
      <c r="H9">
        <v>6</v>
      </c>
      <c r="I9">
        <v>150</v>
      </c>
      <c r="J9" s="14" t="s">
        <v>226</v>
      </c>
      <c r="K9" s="14" t="str">
        <f>IF(AND(_xlfn.XLOOKUP(J9,PRESTITI!B:B,PRESTITI!A:A,1),_xlfn.XLOOKUP(J9,PRESTITI!B:B,PRESTITI!F:F,0)&gt;0,1),"P-D",_xlfn.CONCAT("P-",_xlfn.XLOOKUP(J9,PRESTITI!B:B,PRESTITI!D:D,"D")))</f>
        <v>P-D</v>
      </c>
      <c r="L9">
        <f t="shared" si="0"/>
        <v>30</v>
      </c>
      <c r="M9">
        <f>COUNTIF(PRESTITI!B:B,J9)</f>
        <v>1</v>
      </c>
    </row>
    <row r="10" spans="1:13" ht="30" customHeight="1" x14ac:dyDescent="0.3">
      <c r="A10" s="13" t="s">
        <v>144</v>
      </c>
      <c r="B10" t="s">
        <v>142</v>
      </c>
      <c r="C10" t="s">
        <v>127</v>
      </c>
      <c r="D10" t="s">
        <v>137</v>
      </c>
      <c r="E10" t="s">
        <v>162</v>
      </c>
      <c r="F10" t="s">
        <v>279</v>
      </c>
      <c r="G10">
        <v>2008</v>
      </c>
      <c r="H10">
        <v>1</v>
      </c>
      <c r="I10">
        <v>276</v>
      </c>
      <c r="J10" s="14" t="s">
        <v>222</v>
      </c>
      <c r="K10" s="14" t="str">
        <f>IF(AND(_xlfn.XLOOKUP(J10,PRESTITI!B:B,PRESTITI!A:A,1),_xlfn.XLOOKUP(J10,PRESTITI!B:B,PRESTITI!F:F,0)&gt;0,1),"P-D",_xlfn.CONCAT("P-",_xlfn.XLOOKUP(J10,PRESTITI!B:B,PRESTITI!D:D,"D")))</f>
        <v>P-D</v>
      </c>
      <c r="L10">
        <f t="shared" si="0"/>
        <v>30</v>
      </c>
      <c r="M10">
        <f>COUNTIF(PRESTITI!B:B,J10)</f>
        <v>0</v>
      </c>
    </row>
    <row r="11" spans="1:13" ht="30" customHeight="1" x14ac:dyDescent="0.3">
      <c r="A11" s="13" t="s">
        <v>164</v>
      </c>
      <c r="B11" t="s">
        <v>165</v>
      </c>
      <c r="C11" t="s">
        <v>127</v>
      </c>
      <c r="D11" t="s">
        <v>166</v>
      </c>
      <c r="E11" t="s">
        <v>143</v>
      </c>
      <c r="F11" t="s">
        <v>168</v>
      </c>
      <c r="G11">
        <v>2019</v>
      </c>
      <c r="H11">
        <v>1</v>
      </c>
      <c r="I11">
        <v>210</v>
      </c>
      <c r="J11" s="14" t="s">
        <v>221</v>
      </c>
      <c r="K11" s="14" t="str">
        <f>IF(AND(_xlfn.XLOOKUP(J11,PRESTITI!B:B,PRESTITI!A:A,1),_xlfn.XLOOKUP(J11,PRESTITI!B:B,PRESTITI!F:F,0)&gt;0,1),"P-D",_xlfn.CONCAT("P-",_xlfn.XLOOKUP(J11,PRESTITI!B:B,PRESTITI!D:D,"D")))</f>
        <v>P-13114</v>
      </c>
      <c r="L11">
        <f t="shared" si="0"/>
        <v>0</v>
      </c>
      <c r="M11">
        <f>COUNTIF(PRESTITI!B:B,J11)</f>
        <v>1</v>
      </c>
    </row>
    <row r="12" spans="1:13" ht="30" customHeight="1" x14ac:dyDescent="0.3">
      <c r="A12" s="13" t="s">
        <v>164</v>
      </c>
      <c r="B12" t="s">
        <v>165</v>
      </c>
      <c r="C12" t="s">
        <v>127</v>
      </c>
      <c r="D12" t="s">
        <v>166</v>
      </c>
      <c r="E12" t="s">
        <v>143</v>
      </c>
      <c r="F12" t="s">
        <v>167</v>
      </c>
      <c r="G12">
        <v>2020</v>
      </c>
      <c r="H12">
        <v>1</v>
      </c>
      <c r="I12">
        <v>208</v>
      </c>
      <c r="J12" s="14" t="s">
        <v>220</v>
      </c>
      <c r="K12" s="14" t="str">
        <f>IF(AND(_xlfn.XLOOKUP(J12,PRESTITI!B:B,PRESTITI!A:A,1),_xlfn.XLOOKUP(J12,PRESTITI!B:B,PRESTITI!F:F,0)&gt;0,1),"P-D",_xlfn.CONCAT("P-",_xlfn.XLOOKUP(J12,PRESTITI!B:B,PRESTITI!D:D,"D")))</f>
        <v>P-33320</v>
      </c>
      <c r="L12">
        <f t="shared" si="0"/>
        <v>0</v>
      </c>
      <c r="M12">
        <f>COUNTIF(PRESTITI!B:B,J12)</f>
        <v>1</v>
      </c>
    </row>
    <row r="13" spans="1:13" ht="30" customHeight="1" x14ac:dyDescent="0.3">
      <c r="A13" s="13" t="s">
        <v>169</v>
      </c>
      <c r="B13" t="s">
        <v>170</v>
      </c>
      <c r="C13" t="s">
        <v>127</v>
      </c>
      <c r="D13" t="s">
        <v>172</v>
      </c>
      <c r="E13" t="s">
        <v>128</v>
      </c>
      <c r="F13" t="s">
        <v>171</v>
      </c>
      <c r="G13">
        <v>2017</v>
      </c>
      <c r="I13">
        <v>240</v>
      </c>
      <c r="J13" s="14" t="s">
        <v>227</v>
      </c>
      <c r="K13" s="14" t="s">
        <v>249</v>
      </c>
      <c r="L13">
        <f t="shared" si="0"/>
        <v>0</v>
      </c>
      <c r="M13">
        <f>COUNTIF(PRESTITI!B:B,J13)</f>
        <v>0</v>
      </c>
    </row>
    <row r="14" spans="1:13" ht="30" customHeight="1" x14ac:dyDescent="0.3">
      <c r="A14" s="13" t="s">
        <v>176</v>
      </c>
      <c r="B14" t="s">
        <v>175</v>
      </c>
      <c r="C14" t="s">
        <v>127</v>
      </c>
      <c r="D14" t="s">
        <v>174</v>
      </c>
      <c r="E14" t="s">
        <v>162</v>
      </c>
      <c r="F14" t="s">
        <v>173</v>
      </c>
      <c r="G14">
        <v>2004</v>
      </c>
      <c r="I14">
        <v>104</v>
      </c>
      <c r="J14" s="14" t="s">
        <v>228</v>
      </c>
      <c r="K14" s="14" t="str">
        <f>IF(AND(_xlfn.XLOOKUP(J14,PRESTITI!B:B,PRESTITI!A:A,1),_xlfn.XLOOKUP(J14,PRESTITI!B:B,PRESTITI!F:F,0)&gt;0,1),"P-D",_xlfn.CONCAT("P-",_xlfn.XLOOKUP(J14,PRESTITI!B:B,PRESTITI!D:D,"D")))</f>
        <v>P-D</v>
      </c>
      <c r="L14">
        <f t="shared" si="0"/>
        <v>30</v>
      </c>
      <c r="M14">
        <f>COUNTIF(PRESTITI!B:B,J14)</f>
        <v>1</v>
      </c>
    </row>
    <row r="15" spans="1:13" ht="30" customHeight="1" x14ac:dyDescent="0.3">
      <c r="A15" s="13" t="s">
        <v>177</v>
      </c>
      <c r="B15" t="s">
        <v>178</v>
      </c>
      <c r="C15" t="s">
        <v>127</v>
      </c>
      <c r="D15" t="s">
        <v>137</v>
      </c>
      <c r="E15" t="s">
        <v>179</v>
      </c>
      <c r="F15" t="s">
        <v>180</v>
      </c>
      <c r="G15">
        <v>1979</v>
      </c>
      <c r="H15">
        <v>25</v>
      </c>
      <c r="I15">
        <v>108</v>
      </c>
      <c r="J15" s="14" t="s">
        <v>229</v>
      </c>
      <c r="K15" s="14" t="str">
        <f>IF(AND(_xlfn.XLOOKUP(J15,PRESTITI!B:B,PRESTITI!A:A,1),_xlfn.XLOOKUP(J15,PRESTITI!B:B,PRESTITI!F:F,0)&gt;0,1),"P-D",_xlfn.CONCAT("P-",_xlfn.XLOOKUP(J15,PRESTITI!B:B,PRESTITI!D:D,"D")))</f>
        <v>P-D</v>
      </c>
      <c r="L15">
        <f t="shared" si="0"/>
        <v>30</v>
      </c>
      <c r="M15">
        <f>COUNTIF(PRESTITI!B:B,J15)</f>
        <v>0</v>
      </c>
    </row>
    <row r="16" spans="1:13" ht="30" customHeight="1" x14ac:dyDescent="0.3">
      <c r="A16" s="13" t="s">
        <v>182</v>
      </c>
      <c r="B16" t="s">
        <v>183</v>
      </c>
      <c r="C16" t="s">
        <v>127</v>
      </c>
      <c r="D16" t="s">
        <v>174</v>
      </c>
      <c r="E16" t="s">
        <v>143</v>
      </c>
      <c r="F16" t="s">
        <v>181</v>
      </c>
      <c r="G16">
        <v>2016</v>
      </c>
      <c r="I16">
        <v>185</v>
      </c>
      <c r="J16" s="14" t="s">
        <v>230</v>
      </c>
      <c r="K16" s="14" t="str">
        <f>IF(AND(_xlfn.XLOOKUP(J16,PRESTITI!B:B,PRESTITI!A:A,1),_xlfn.XLOOKUP(J16,PRESTITI!B:B,PRESTITI!F:F,0)&gt;0,1),"P-D",_xlfn.CONCAT("P-",_xlfn.XLOOKUP(J16,PRESTITI!B:B,PRESTITI!D:D,"D")))</f>
        <v>P-D</v>
      </c>
      <c r="L16">
        <f t="shared" si="0"/>
        <v>30</v>
      </c>
      <c r="M16">
        <f>COUNTIF(PRESTITI!B:B,J16)</f>
        <v>1</v>
      </c>
    </row>
    <row r="17" spans="1:13" ht="30" customHeight="1" x14ac:dyDescent="0.3">
      <c r="A17" s="13" t="s">
        <v>186</v>
      </c>
      <c r="B17" t="s">
        <v>187</v>
      </c>
      <c r="C17" t="s">
        <v>127</v>
      </c>
      <c r="D17" t="s">
        <v>174</v>
      </c>
      <c r="E17" t="s">
        <v>184</v>
      </c>
      <c r="F17" t="s">
        <v>185</v>
      </c>
      <c r="G17">
        <v>2003</v>
      </c>
      <c r="H17">
        <v>28</v>
      </c>
      <c r="I17">
        <v>256</v>
      </c>
      <c r="J17" s="14" t="s">
        <v>231</v>
      </c>
      <c r="K17" s="14" t="str">
        <f>IF(AND(_xlfn.XLOOKUP(J17,PRESTITI!B:B,PRESTITI!A:A,1),_xlfn.XLOOKUP(J17,PRESTITI!B:B,PRESTITI!F:F,0)&gt;0,1),"P-D",_xlfn.CONCAT("P-",_xlfn.XLOOKUP(J17,PRESTITI!B:B,PRESTITI!D:D,"D")))</f>
        <v>P-D</v>
      </c>
      <c r="L17">
        <f t="shared" si="0"/>
        <v>30</v>
      </c>
      <c r="M17">
        <f>COUNTIF(PRESTITI!B:B,J17)</f>
        <v>1</v>
      </c>
    </row>
    <row r="18" spans="1:13" ht="30" customHeight="1" x14ac:dyDescent="0.3">
      <c r="A18" s="13" t="s">
        <v>192</v>
      </c>
      <c r="B18" t="s">
        <v>188</v>
      </c>
      <c r="C18" t="s">
        <v>191</v>
      </c>
      <c r="D18" t="s">
        <v>174</v>
      </c>
      <c r="E18" t="s">
        <v>189</v>
      </c>
      <c r="F18" t="s">
        <v>190</v>
      </c>
      <c r="G18">
        <v>2020</v>
      </c>
      <c r="I18">
        <v>608</v>
      </c>
      <c r="J18" s="14" t="s">
        <v>232</v>
      </c>
      <c r="K18" s="14" t="str">
        <f>IF(AND(_xlfn.XLOOKUP(J18,PRESTITI!B:B,PRESTITI!A:A,1),_xlfn.XLOOKUP(J18,PRESTITI!B:B,PRESTITI!F:F,0)&gt;0,1),"P-D",_xlfn.CONCAT("P-",_xlfn.XLOOKUP(J18,PRESTITI!B:B,PRESTITI!D:D,"D")))</f>
        <v>P-12281</v>
      </c>
      <c r="L18">
        <f t="shared" si="0"/>
        <v>0</v>
      </c>
      <c r="M18">
        <f>COUNTIF(PRESTITI!B:B,J18)</f>
        <v>1</v>
      </c>
    </row>
    <row r="19" spans="1:13" ht="30" customHeight="1" x14ac:dyDescent="0.3">
      <c r="A19" s="13" t="s">
        <v>195</v>
      </c>
      <c r="B19" t="s">
        <v>193</v>
      </c>
      <c r="C19" t="s">
        <v>194</v>
      </c>
      <c r="D19" t="s">
        <v>137</v>
      </c>
      <c r="E19" t="s">
        <v>162</v>
      </c>
      <c r="F19" t="s">
        <v>196</v>
      </c>
      <c r="G19">
        <v>2008</v>
      </c>
      <c r="H19">
        <v>3</v>
      </c>
      <c r="I19">
        <v>426</v>
      </c>
      <c r="J19" s="14" t="s">
        <v>233</v>
      </c>
      <c r="K19" s="14" t="str">
        <f>IF(AND(_xlfn.XLOOKUP(J19,PRESTITI!B:B,PRESTITI!A:A,1),_xlfn.XLOOKUP(J19,PRESTITI!B:B,PRESTITI!F:F,0)&gt;0,1),"P-D",_xlfn.CONCAT("P-",_xlfn.XLOOKUP(J19,PRESTITI!B:B,PRESTITI!D:D,"D")))</f>
        <v>P-D</v>
      </c>
      <c r="L19">
        <f t="shared" si="0"/>
        <v>30</v>
      </c>
      <c r="M19">
        <f>COUNTIF(PRESTITI!B:B,J19)</f>
        <v>1</v>
      </c>
    </row>
    <row r="20" spans="1:13" ht="30" customHeight="1" x14ac:dyDescent="0.3">
      <c r="A20" s="13" t="s">
        <v>197</v>
      </c>
      <c r="B20" t="s">
        <v>200</v>
      </c>
      <c r="C20" t="s">
        <v>198</v>
      </c>
      <c r="D20" t="s">
        <v>174</v>
      </c>
      <c r="E20" t="s">
        <v>162</v>
      </c>
      <c r="F20" t="s">
        <v>199</v>
      </c>
      <c r="G20">
        <v>2007</v>
      </c>
      <c r="H20">
        <v>2</v>
      </c>
      <c r="I20">
        <v>282</v>
      </c>
      <c r="J20" s="14" t="s">
        <v>234</v>
      </c>
      <c r="K20" s="14" t="str">
        <f>IF(AND(_xlfn.XLOOKUP(J20,PRESTITI!B:B,PRESTITI!A:A,1),_xlfn.XLOOKUP(J20,PRESTITI!B:B,PRESTITI!F:F,0)&gt;0,1),"P-D",_xlfn.CONCAT("P-",_xlfn.XLOOKUP(J20,PRESTITI!B:B,PRESTITI!D:D,"D")))</f>
        <v>P-D</v>
      </c>
      <c r="L20">
        <f t="shared" si="0"/>
        <v>30</v>
      </c>
      <c r="M20">
        <f>COUNTIF(PRESTITI!B:B,J20)</f>
        <v>1</v>
      </c>
    </row>
    <row r="21" spans="1:13" ht="30" customHeight="1" x14ac:dyDescent="0.3">
      <c r="A21" s="13" t="s">
        <v>201</v>
      </c>
      <c r="B21" t="s">
        <v>202</v>
      </c>
      <c r="C21" t="s">
        <v>127</v>
      </c>
      <c r="D21" t="s">
        <v>174</v>
      </c>
      <c r="E21" t="s">
        <v>179</v>
      </c>
      <c r="F21" t="s">
        <v>203</v>
      </c>
      <c r="G21">
        <v>2005</v>
      </c>
      <c r="H21">
        <v>10</v>
      </c>
      <c r="I21">
        <v>256</v>
      </c>
      <c r="J21" s="14" t="s">
        <v>236</v>
      </c>
      <c r="K21" s="14" t="str">
        <f>IF(AND(_xlfn.XLOOKUP(J21,PRESTITI!B:B,PRESTITI!A:A,1),_xlfn.XLOOKUP(J21,PRESTITI!B:B,PRESTITI!F:F,0)&gt;0,1),"P-D",_xlfn.CONCAT("P-",_xlfn.XLOOKUP(J21,PRESTITI!B:B,PRESTITI!D:D,"D")))</f>
        <v>P-D</v>
      </c>
      <c r="L21">
        <f t="shared" si="0"/>
        <v>30</v>
      </c>
      <c r="M21">
        <f>COUNTIF(PRESTITI!B:B,J21)</f>
        <v>2</v>
      </c>
    </row>
    <row r="22" spans="1:13" ht="30" customHeight="1" x14ac:dyDescent="0.3">
      <c r="A22" s="13" t="s">
        <v>204</v>
      </c>
      <c r="B22" t="s">
        <v>205</v>
      </c>
      <c r="C22" t="s">
        <v>206</v>
      </c>
      <c r="D22" t="s">
        <v>147</v>
      </c>
      <c r="E22" t="s">
        <v>143</v>
      </c>
      <c r="F22" t="s">
        <v>207</v>
      </c>
      <c r="G22">
        <v>1977</v>
      </c>
      <c r="H22" s="14" t="s">
        <v>163</v>
      </c>
      <c r="I22">
        <v>301</v>
      </c>
      <c r="J22" s="14" t="s">
        <v>237</v>
      </c>
      <c r="K22" s="14" t="str">
        <f>IF(AND(_xlfn.XLOOKUP(J22,PRESTITI!B:B,PRESTITI!A:A,1),_xlfn.XLOOKUP(J22,PRESTITI!B:B,PRESTITI!F:F,0)&gt;0,1),"P-D",_xlfn.CONCAT("P-",_xlfn.XLOOKUP(J22,PRESTITI!B:B,PRESTITI!D:D,"D")))</f>
        <v>P-31968</v>
      </c>
      <c r="L22">
        <f t="shared" si="0"/>
        <v>0</v>
      </c>
      <c r="M22">
        <f>COUNTIF(PRESTITI!B:B,J22)</f>
        <v>2</v>
      </c>
    </row>
    <row r="23" spans="1:13" ht="30" customHeight="1" x14ac:dyDescent="0.3">
      <c r="A23" s="13" t="s">
        <v>208</v>
      </c>
      <c r="B23" t="s">
        <v>209</v>
      </c>
      <c r="C23" t="s">
        <v>127</v>
      </c>
      <c r="D23" t="s">
        <v>210</v>
      </c>
      <c r="E23" t="s">
        <v>143</v>
      </c>
      <c r="F23" t="s">
        <v>153</v>
      </c>
      <c r="G23">
        <v>2010</v>
      </c>
      <c r="H23">
        <v>23</v>
      </c>
      <c r="I23">
        <v>164</v>
      </c>
      <c r="J23" s="14" t="s">
        <v>238</v>
      </c>
      <c r="K23" s="14" t="str">
        <f>IF(AND(_xlfn.XLOOKUP(J23,PRESTITI!B:B,PRESTITI!A:A,1),_xlfn.XLOOKUP(J23,PRESTITI!B:B,PRESTITI!F:F,0)&gt;0,1),"P-D",_xlfn.CONCAT("P-",_xlfn.XLOOKUP(J23,PRESTITI!B:B,PRESTITI!D:D,"D")))</f>
        <v>P-17017</v>
      </c>
      <c r="L23">
        <f t="shared" si="0"/>
        <v>0</v>
      </c>
      <c r="M23">
        <f>COUNTIF(PRESTITI!B:B,J23)</f>
        <v>2</v>
      </c>
    </row>
    <row r="24" spans="1:13" ht="30" customHeight="1" x14ac:dyDescent="0.3">
      <c r="A24" s="13" t="s">
        <v>211</v>
      </c>
      <c r="B24" t="s">
        <v>212</v>
      </c>
      <c r="C24" t="s">
        <v>194</v>
      </c>
      <c r="D24" t="s">
        <v>215</v>
      </c>
      <c r="E24" t="s">
        <v>184</v>
      </c>
      <c r="F24" t="s">
        <v>185</v>
      </c>
      <c r="G24">
        <v>1995</v>
      </c>
      <c r="H24">
        <v>1</v>
      </c>
      <c r="I24">
        <v>330</v>
      </c>
      <c r="J24" s="14" t="s">
        <v>239</v>
      </c>
      <c r="K24" s="14" t="str">
        <f>IF(AND(_xlfn.XLOOKUP(J24,PRESTITI!B:B,PRESTITI!A:A,1),_xlfn.XLOOKUP(J24,PRESTITI!B:B,PRESTITI!F:F,0)&gt;0,1),"P-D",_xlfn.CONCAT("P-",_xlfn.XLOOKUP(J24,PRESTITI!B:B,PRESTITI!D:D,"D")))</f>
        <v>P-D</v>
      </c>
      <c r="L24">
        <f t="shared" si="0"/>
        <v>30</v>
      </c>
      <c r="M24">
        <f>COUNTIF(PRESTITI!B:B,J24)</f>
        <v>1</v>
      </c>
    </row>
    <row r="25" spans="1:13" ht="30" customHeight="1" x14ac:dyDescent="0.3">
      <c r="A25" s="13" t="s">
        <v>213</v>
      </c>
      <c r="B25" t="s">
        <v>214</v>
      </c>
      <c r="C25" t="s">
        <v>127</v>
      </c>
      <c r="D25" t="s">
        <v>174</v>
      </c>
      <c r="E25" t="s">
        <v>143</v>
      </c>
      <c r="F25" t="s">
        <v>216</v>
      </c>
      <c r="G25">
        <v>2012</v>
      </c>
      <c r="H25">
        <v>28</v>
      </c>
      <c r="I25">
        <v>236</v>
      </c>
      <c r="J25" s="14" t="s">
        <v>240</v>
      </c>
      <c r="K25" s="14" t="str">
        <f>IF(AND(_xlfn.XLOOKUP(J25,PRESTITI!B:B,PRESTITI!A:A,1),_xlfn.XLOOKUP(J25,PRESTITI!B:B,PRESTITI!F:F,0)&gt;0,1),"P-D",_xlfn.CONCAT("P-",_xlfn.XLOOKUP(J25,PRESTITI!B:B,PRESTITI!D:D,"D")))</f>
        <v>P-5077</v>
      </c>
      <c r="L25">
        <f>IF(K25="P-D",30,0)</f>
        <v>0</v>
      </c>
      <c r="M25">
        <f>COUNTIF(PRESTITI!B:B,J25)</f>
        <v>3</v>
      </c>
    </row>
  </sheetData>
  <phoneticPr fontId="2" type="noConversion"/>
  <pageMargins left="0.7" right="0.7" top="0.75" bottom="0.75" header="0.3" footer="0.3"/>
  <ignoredErrors>
    <ignoredError sqref="K13" calculatedColumn="1"/>
  </ignoredErrors>
  <legacyDrawing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6F127-53EC-4DC2-A44E-11108DCD2C7F}">
  <sheetPr codeName="Sheet5">
    <tabColor theme="8" tint="0.39997558519241921"/>
  </sheetPr>
  <dimension ref="A1:I31"/>
  <sheetViews>
    <sheetView showRowColHeaders="0" zoomScaleNormal="100" workbookViewId="0">
      <selection activeCell="G30" sqref="G30"/>
    </sheetView>
  </sheetViews>
  <sheetFormatPr defaultColWidth="19.33203125" defaultRowHeight="27.6" customHeight="1" x14ac:dyDescent="0.3"/>
  <cols>
    <col min="2" max="2" width="15.109375" customWidth="1"/>
    <col min="5" max="5" width="24.33203125" customWidth="1"/>
    <col min="6" max="6" width="20.6640625" customWidth="1"/>
    <col min="7" max="7" width="27" customWidth="1"/>
    <col min="8" max="8" width="19.33203125" customWidth="1"/>
  </cols>
  <sheetData>
    <row r="1" spans="1:9" ht="27.6" customHeight="1" x14ac:dyDescent="0.3">
      <c r="A1" t="s">
        <v>241</v>
      </c>
      <c r="B1" t="s">
        <v>242</v>
      </c>
      <c r="C1" t="s">
        <v>243</v>
      </c>
      <c r="D1" t="s">
        <v>248</v>
      </c>
      <c r="E1" t="s">
        <v>244</v>
      </c>
      <c r="F1" t="s">
        <v>245</v>
      </c>
      <c r="G1" t="s">
        <v>246</v>
      </c>
      <c r="H1" t="s">
        <v>247</v>
      </c>
      <c r="I1" t="s">
        <v>277</v>
      </c>
    </row>
    <row r="2" spans="1:9" ht="27.6" customHeight="1" x14ac:dyDescent="0.3">
      <c r="A2" s="10">
        <v>44972</v>
      </c>
      <c r="B2" s="14" t="s">
        <v>217</v>
      </c>
      <c r="C2" s="13" t="str">
        <f>_xlfn.XLOOKUP(B2,LIBRI!J:J,LIBRI!A:A)</f>
        <v>La paura ferisce come un coltello arrugginito</v>
      </c>
      <c r="D2">
        <v>5463</v>
      </c>
      <c r="E2">
        <v>10</v>
      </c>
      <c r="F2" s="10"/>
      <c r="H2">
        <f t="shared" ref="H2:H31" ca="1" si="0">IF(_xlfn.DAYS(IF(F2="",TODAY(),F2),A2)&gt;30,_xlfn.DAYS(IF(F2="",TODAY(),F2),A2)-30,0)</f>
        <v>0</v>
      </c>
      <c r="I2" s="12">
        <f t="shared" ref="I2:I29" si="1">I3+1</f>
        <v>30</v>
      </c>
    </row>
    <row r="3" spans="1:9" ht="27.6" customHeight="1" x14ac:dyDescent="0.3">
      <c r="A3" s="10">
        <v>44967</v>
      </c>
      <c r="B3" s="14" t="s">
        <v>235</v>
      </c>
      <c r="C3" s="13" t="str">
        <f>_xlfn.XLOOKUP(B3,LIBRI!J:J,LIBRI!A:A)</f>
        <v>Finale di partita</v>
      </c>
      <c r="D3">
        <v>6216</v>
      </c>
      <c r="E3">
        <v>5</v>
      </c>
      <c r="F3" s="10"/>
      <c r="H3">
        <f t="shared" ca="1" si="0"/>
        <v>0</v>
      </c>
      <c r="I3" s="12">
        <f t="shared" si="1"/>
        <v>29</v>
      </c>
    </row>
    <row r="4" spans="1:9" ht="27.6" customHeight="1" x14ac:dyDescent="0.3">
      <c r="A4" s="10">
        <v>44966</v>
      </c>
      <c r="B4" s="14" t="s">
        <v>238</v>
      </c>
      <c r="C4" s="13" t="str">
        <f>_xlfn.XLOOKUP(B4,LIBRI!J:J,LIBRI!A:A)</f>
        <v>De Profundis</v>
      </c>
      <c r="D4">
        <v>17017</v>
      </c>
      <c r="E4">
        <v>2</v>
      </c>
      <c r="F4" s="10"/>
      <c r="H4">
        <f t="shared" ca="1" si="0"/>
        <v>0</v>
      </c>
      <c r="I4" s="12">
        <f t="shared" si="1"/>
        <v>28</v>
      </c>
    </row>
    <row r="5" spans="1:9" ht="27.6" customHeight="1" x14ac:dyDescent="0.3">
      <c r="A5" s="10">
        <v>44966</v>
      </c>
      <c r="B5" s="14" t="s">
        <v>220</v>
      </c>
      <c r="C5" s="13" t="str">
        <f>_xlfn.XLOOKUP(B5,LIBRI!J:J,LIBRI!A:A)</f>
        <v>Dieci piccoli indiani. E non rimase nessuno.</v>
      </c>
      <c r="D5">
        <v>33320</v>
      </c>
      <c r="E5">
        <v>11</v>
      </c>
      <c r="F5" s="10"/>
      <c r="H5">
        <f t="shared" ca="1" si="0"/>
        <v>0</v>
      </c>
      <c r="I5" s="12">
        <f t="shared" si="1"/>
        <v>27</v>
      </c>
    </row>
    <row r="6" spans="1:9" ht="27.6" customHeight="1" x14ac:dyDescent="0.3">
      <c r="A6" s="10">
        <v>44965</v>
      </c>
      <c r="B6" s="14" t="s">
        <v>237</v>
      </c>
      <c r="C6" s="13" t="str">
        <f>_xlfn.XLOOKUP(B6,LIBRI!J:J,LIBRI!A:A)</f>
        <v>Foglie d'erba</v>
      </c>
      <c r="D6">
        <v>31968</v>
      </c>
      <c r="E6">
        <v>7</v>
      </c>
      <c r="F6" s="10"/>
      <c r="H6">
        <f t="shared" ca="1" si="0"/>
        <v>0</v>
      </c>
      <c r="I6" s="12">
        <f t="shared" si="1"/>
        <v>26</v>
      </c>
    </row>
    <row r="7" spans="1:9" ht="27.6" customHeight="1" x14ac:dyDescent="0.3">
      <c r="A7" s="10">
        <v>44964</v>
      </c>
      <c r="B7" s="14" t="s">
        <v>240</v>
      </c>
      <c r="C7" s="13" t="str">
        <f>_xlfn.XLOOKUP(B7,LIBRI!J:J,LIBRI!A:A)</f>
        <v>Opinioni di un clown</v>
      </c>
      <c r="D7">
        <v>5077</v>
      </c>
      <c r="E7">
        <v>8</v>
      </c>
      <c r="F7" s="10"/>
      <c r="H7">
        <f t="shared" ca="1" si="0"/>
        <v>0</v>
      </c>
      <c r="I7" s="12">
        <f t="shared" si="1"/>
        <v>25</v>
      </c>
    </row>
    <row r="8" spans="1:9" ht="27.6" customHeight="1" x14ac:dyDescent="0.3">
      <c r="A8" s="10">
        <v>44964</v>
      </c>
      <c r="B8" s="14" t="s">
        <v>221</v>
      </c>
      <c r="C8" s="13" t="str">
        <f>_xlfn.XLOOKUP(B8,LIBRI!J:J,LIBRI!A:A)</f>
        <v>Dieci piccoli indiani. E non rimase nessuno.</v>
      </c>
      <c r="D8">
        <v>13114</v>
      </c>
      <c r="E8">
        <v>5</v>
      </c>
      <c r="F8" s="10"/>
      <c r="H8">
        <f t="shared" ca="1" si="0"/>
        <v>0</v>
      </c>
      <c r="I8" s="12">
        <f t="shared" si="1"/>
        <v>24</v>
      </c>
    </row>
    <row r="9" spans="1:9" ht="27.6" customHeight="1" x14ac:dyDescent="0.3">
      <c r="A9" s="10">
        <v>44963</v>
      </c>
      <c r="B9" s="14" t="s">
        <v>225</v>
      </c>
      <c r="C9" s="13" t="str">
        <f>_xlfn.XLOOKUP(B9,LIBRI!J:J,LIBRI!A:A)</f>
        <v>Amleto</v>
      </c>
      <c r="D9">
        <v>17306</v>
      </c>
      <c r="E9">
        <v>2</v>
      </c>
      <c r="F9" s="10"/>
      <c r="H9">
        <f t="shared" ca="1" si="0"/>
        <v>0</v>
      </c>
      <c r="I9" s="12">
        <f t="shared" si="1"/>
        <v>23</v>
      </c>
    </row>
    <row r="10" spans="1:9" ht="27.6" customHeight="1" x14ac:dyDescent="0.3">
      <c r="A10" s="10">
        <v>44960</v>
      </c>
      <c r="B10" s="14" t="s">
        <v>239</v>
      </c>
      <c r="C10" s="13" t="str">
        <f>_xlfn.XLOOKUP(B10,LIBRI!J:J,LIBRI!A:A)</f>
        <v>Facezie</v>
      </c>
      <c r="D10">
        <v>13114</v>
      </c>
      <c r="E10">
        <v>2</v>
      </c>
      <c r="F10" s="10">
        <v>44964</v>
      </c>
      <c r="G10">
        <v>4</v>
      </c>
      <c r="H10">
        <f t="shared" ca="1" si="0"/>
        <v>0</v>
      </c>
      <c r="I10" s="12">
        <f t="shared" si="1"/>
        <v>22</v>
      </c>
    </row>
    <row r="11" spans="1:9" ht="27.6" customHeight="1" x14ac:dyDescent="0.3">
      <c r="A11" s="10">
        <v>44960</v>
      </c>
      <c r="B11" s="14" t="s">
        <v>236</v>
      </c>
      <c r="C11" s="13" t="str">
        <f>_xlfn.XLOOKUP(B11,LIBRI!J:J,LIBRI!A:A)</f>
        <v>Il valzer degli addii</v>
      </c>
      <c r="D11">
        <v>33320</v>
      </c>
      <c r="E11">
        <v>4</v>
      </c>
      <c r="F11" s="10">
        <v>44966</v>
      </c>
      <c r="G11">
        <v>10</v>
      </c>
      <c r="H11">
        <f t="shared" ca="1" si="0"/>
        <v>0</v>
      </c>
      <c r="I11" s="12">
        <f t="shared" si="1"/>
        <v>21</v>
      </c>
    </row>
    <row r="12" spans="1:9" ht="27.6" customHeight="1" x14ac:dyDescent="0.3">
      <c r="A12" s="10">
        <v>44959</v>
      </c>
      <c r="B12" s="14" t="s">
        <v>231</v>
      </c>
      <c r="C12" s="13" t="str">
        <f>_xlfn.XLOOKUP(B12,LIBRI!J:J,LIBRI!A:A)</f>
        <v>Controcorrente</v>
      </c>
      <c r="D12">
        <v>6216</v>
      </c>
      <c r="E12">
        <v>3</v>
      </c>
      <c r="F12" s="10">
        <v>44967</v>
      </c>
      <c r="G12">
        <v>6</v>
      </c>
      <c r="H12">
        <f t="shared" ca="1" si="0"/>
        <v>0</v>
      </c>
      <c r="I12" s="12">
        <f t="shared" si="1"/>
        <v>20</v>
      </c>
    </row>
    <row r="13" spans="1:9" ht="27.6" customHeight="1" x14ac:dyDescent="0.3">
      <c r="A13" s="10">
        <v>44957</v>
      </c>
      <c r="B13" s="14" t="s">
        <v>228</v>
      </c>
      <c r="C13" s="13" t="str">
        <f>_xlfn.XLOOKUP(B13,LIBRI!J:J,LIBRI!A:A)</f>
        <v>Senza sangue</v>
      </c>
      <c r="D13">
        <v>5463</v>
      </c>
      <c r="E13">
        <v>8</v>
      </c>
      <c r="F13" s="10">
        <v>44972</v>
      </c>
      <c r="G13">
        <v>6</v>
      </c>
      <c r="H13">
        <f t="shared" ca="1" si="0"/>
        <v>0</v>
      </c>
      <c r="I13" s="12">
        <f t="shared" si="1"/>
        <v>19</v>
      </c>
    </row>
    <row r="14" spans="1:9" ht="27.6" customHeight="1" x14ac:dyDescent="0.3">
      <c r="A14" s="10">
        <v>44956</v>
      </c>
      <c r="B14" s="14" t="s">
        <v>237</v>
      </c>
      <c r="C14" s="13" t="str">
        <f>_xlfn.XLOOKUP(B14,LIBRI!J:J,LIBRI!A:A)</f>
        <v>Foglie d'erba</v>
      </c>
      <c r="D14">
        <v>18639</v>
      </c>
      <c r="E14">
        <v>11</v>
      </c>
      <c r="F14" s="10"/>
      <c r="H14">
        <f t="shared" ca="1" si="0"/>
        <v>0</v>
      </c>
      <c r="I14" s="12">
        <f t="shared" si="1"/>
        <v>18</v>
      </c>
    </row>
    <row r="15" spans="1:9" ht="27.6" customHeight="1" x14ac:dyDescent="0.3">
      <c r="A15" s="10">
        <v>44953</v>
      </c>
      <c r="B15" s="14" t="s">
        <v>217</v>
      </c>
      <c r="C15" s="13" t="str">
        <f>_xlfn.XLOOKUP(B15,LIBRI!J:J,LIBRI!A:A)</f>
        <v>La paura ferisce come un coltello arrugginito</v>
      </c>
      <c r="D15">
        <v>31947</v>
      </c>
      <c r="E15">
        <v>3</v>
      </c>
      <c r="F15" s="10">
        <v>44968</v>
      </c>
      <c r="G15">
        <v>8</v>
      </c>
      <c r="H15">
        <f t="shared" ca="1" si="0"/>
        <v>0</v>
      </c>
      <c r="I15" s="12">
        <f t="shared" si="1"/>
        <v>17</v>
      </c>
    </row>
    <row r="16" spans="1:9" ht="27.6" customHeight="1" x14ac:dyDescent="0.3">
      <c r="A16" s="10">
        <v>44953</v>
      </c>
      <c r="B16" s="14" t="s">
        <v>232</v>
      </c>
      <c r="C16" s="13" t="str">
        <f>_xlfn.XLOOKUP(B16,LIBRI!J:J,LIBRI!A:A)</f>
        <v>Le affinità elettive</v>
      </c>
      <c r="D16">
        <v>12281</v>
      </c>
      <c r="E16">
        <v>8</v>
      </c>
      <c r="F16" s="10"/>
      <c r="H16">
        <f t="shared" ca="1" si="0"/>
        <v>0</v>
      </c>
      <c r="I16" s="12">
        <f t="shared" si="1"/>
        <v>16</v>
      </c>
    </row>
    <row r="17" spans="1:9" ht="27.6" customHeight="1" x14ac:dyDescent="0.3">
      <c r="A17" s="10">
        <v>44952</v>
      </c>
      <c r="B17" s="14" t="s">
        <v>226</v>
      </c>
      <c r="C17" s="13" t="str">
        <f>_xlfn.XLOOKUP(B17,LIBRI!J:J,LIBRI!A:A)</f>
        <v>Vita di Galileo</v>
      </c>
      <c r="D17">
        <v>13114</v>
      </c>
      <c r="E17">
        <v>8</v>
      </c>
      <c r="F17" s="10">
        <v>44960</v>
      </c>
      <c r="G17">
        <v>9</v>
      </c>
      <c r="H17">
        <f t="shared" ca="1" si="0"/>
        <v>0</v>
      </c>
      <c r="I17" s="12">
        <f t="shared" si="1"/>
        <v>15</v>
      </c>
    </row>
    <row r="18" spans="1:9" ht="27.6" customHeight="1" x14ac:dyDescent="0.3">
      <c r="A18" s="10">
        <v>44949</v>
      </c>
      <c r="B18" s="14" t="s">
        <v>225</v>
      </c>
      <c r="C18" s="13" t="str">
        <f>_xlfn.XLOOKUP(B18,LIBRI!J:J,LIBRI!A:A)</f>
        <v>Amleto</v>
      </c>
      <c r="D18">
        <v>17306</v>
      </c>
      <c r="E18">
        <v>6</v>
      </c>
      <c r="F18" s="10">
        <v>44960</v>
      </c>
      <c r="G18">
        <v>10</v>
      </c>
      <c r="H18">
        <f t="shared" ca="1" si="0"/>
        <v>0</v>
      </c>
      <c r="I18" s="12">
        <f t="shared" si="1"/>
        <v>14</v>
      </c>
    </row>
    <row r="19" spans="1:9" ht="27.6" customHeight="1" x14ac:dyDescent="0.3">
      <c r="A19" s="10">
        <v>44949</v>
      </c>
      <c r="B19" s="14" t="s">
        <v>230</v>
      </c>
      <c r="C19" s="13" t="str">
        <f>_xlfn.XLOOKUP(B19,LIBRI!J:J,LIBRI!A:A)</f>
        <v>Il lupo della steppa</v>
      </c>
      <c r="D19">
        <v>17017</v>
      </c>
      <c r="E19">
        <v>2</v>
      </c>
      <c r="F19" s="10">
        <v>44966</v>
      </c>
      <c r="G19">
        <v>10</v>
      </c>
      <c r="H19">
        <f t="shared" ca="1" si="0"/>
        <v>0</v>
      </c>
      <c r="I19" s="12">
        <f t="shared" si="1"/>
        <v>13</v>
      </c>
    </row>
    <row r="20" spans="1:9" ht="27.6" customHeight="1" x14ac:dyDescent="0.3">
      <c r="A20" s="10">
        <v>44949</v>
      </c>
      <c r="B20" s="14" t="s">
        <v>240</v>
      </c>
      <c r="C20" s="13" t="str">
        <f>_xlfn.XLOOKUP(B20,LIBRI!J:J,LIBRI!A:A)</f>
        <v>Opinioni di un clown</v>
      </c>
      <c r="D20">
        <v>33320</v>
      </c>
      <c r="E20">
        <v>2</v>
      </c>
      <c r="F20" s="15">
        <v>44960</v>
      </c>
      <c r="G20">
        <v>2</v>
      </c>
      <c r="H20">
        <f t="shared" ca="1" si="0"/>
        <v>0</v>
      </c>
      <c r="I20" s="12">
        <f t="shared" si="1"/>
        <v>12</v>
      </c>
    </row>
    <row r="21" spans="1:9" ht="27.6" customHeight="1" x14ac:dyDescent="0.3">
      <c r="A21" s="10">
        <v>44946</v>
      </c>
      <c r="B21" s="14" t="s">
        <v>233</v>
      </c>
      <c r="C21" s="13" t="str">
        <f>_xlfn.XLOOKUP(B21,LIBRI!J:J,LIBRI!A:A)</f>
        <v>Monarchia</v>
      </c>
      <c r="D21">
        <v>28957</v>
      </c>
      <c r="E21">
        <v>6</v>
      </c>
      <c r="F21" s="15">
        <v>44953</v>
      </c>
      <c r="G21">
        <v>5</v>
      </c>
      <c r="H21">
        <f t="shared" ca="1" si="0"/>
        <v>0</v>
      </c>
      <c r="I21" s="12">
        <f t="shared" si="1"/>
        <v>11</v>
      </c>
    </row>
    <row r="22" spans="1:9" ht="27.6" customHeight="1" x14ac:dyDescent="0.3">
      <c r="A22" s="10">
        <v>44945</v>
      </c>
      <c r="B22" s="14" t="s">
        <v>236</v>
      </c>
      <c r="C22" s="13" t="str">
        <f>_xlfn.XLOOKUP(B22,LIBRI!J:J,LIBRI!A:A)</f>
        <v>Il valzer degli addii</v>
      </c>
      <c r="D22">
        <v>6216</v>
      </c>
      <c r="E22">
        <v>11</v>
      </c>
      <c r="F22" s="15">
        <v>44959</v>
      </c>
      <c r="G22">
        <v>7</v>
      </c>
      <c r="H22">
        <f t="shared" ca="1" si="0"/>
        <v>0</v>
      </c>
      <c r="I22" s="12">
        <f t="shared" si="1"/>
        <v>10</v>
      </c>
    </row>
    <row r="23" spans="1:9" ht="27.6" customHeight="1" x14ac:dyDescent="0.3">
      <c r="A23" s="10">
        <v>44945</v>
      </c>
      <c r="B23" s="14" t="s">
        <v>234</v>
      </c>
      <c r="C23" s="13" t="str">
        <f>_xlfn.XLOOKUP(B23,LIBRI!J:J,LIBRI!A:A)</f>
        <v>La sonata a Kreutzer</v>
      </c>
      <c r="D23" s="14">
        <v>31968</v>
      </c>
      <c r="E23">
        <v>8</v>
      </c>
      <c r="F23" s="15">
        <v>44965</v>
      </c>
      <c r="G23">
        <v>2</v>
      </c>
      <c r="H23">
        <f t="shared" ca="1" si="0"/>
        <v>0</v>
      </c>
      <c r="I23" s="12">
        <f t="shared" si="1"/>
        <v>9</v>
      </c>
    </row>
    <row r="24" spans="1:9" ht="27.6" customHeight="1" x14ac:dyDescent="0.3">
      <c r="A24" s="10">
        <v>44942</v>
      </c>
      <c r="B24" s="14" t="s">
        <v>218</v>
      </c>
      <c r="C24" s="13" t="str">
        <f>_xlfn.XLOOKUP(B24,LIBRI!J:J,LIBRI!A:A)</f>
        <v>A Mathematician's apology</v>
      </c>
      <c r="D24">
        <v>13114</v>
      </c>
      <c r="E24">
        <v>9</v>
      </c>
      <c r="F24" s="15">
        <v>44952</v>
      </c>
      <c r="G24">
        <v>11</v>
      </c>
      <c r="H24">
        <f t="shared" ca="1" si="0"/>
        <v>0</v>
      </c>
      <c r="I24" s="12">
        <f t="shared" si="1"/>
        <v>8</v>
      </c>
    </row>
    <row r="25" spans="1:9" ht="27.6" customHeight="1" x14ac:dyDescent="0.3">
      <c r="A25" s="10">
        <v>44937</v>
      </c>
      <c r="B25" s="14" t="s">
        <v>235</v>
      </c>
      <c r="C25" s="13" t="str">
        <f>_xlfn.XLOOKUP(B25,LIBRI!J:J,LIBRI!A:A)</f>
        <v>Finale di partita</v>
      </c>
      <c r="D25">
        <v>18639</v>
      </c>
      <c r="E25">
        <v>3</v>
      </c>
      <c r="F25" s="15">
        <v>44956</v>
      </c>
      <c r="G25">
        <v>11</v>
      </c>
      <c r="H25">
        <f t="shared" ca="1" si="0"/>
        <v>0</v>
      </c>
      <c r="I25" s="12">
        <f t="shared" si="1"/>
        <v>7</v>
      </c>
    </row>
    <row r="26" spans="1:9" ht="27.6" customHeight="1" x14ac:dyDescent="0.3">
      <c r="A26" s="10">
        <v>44936</v>
      </c>
      <c r="B26" s="14" t="s">
        <v>238</v>
      </c>
      <c r="C26" s="13" t="str">
        <f>_xlfn.XLOOKUP(B26,LIBRI!J:J,LIBRI!A:A)</f>
        <v>De Profundis</v>
      </c>
      <c r="D26">
        <v>5077</v>
      </c>
      <c r="E26">
        <v>4</v>
      </c>
      <c r="F26" s="15">
        <v>44964</v>
      </c>
      <c r="G26">
        <v>11</v>
      </c>
      <c r="H26">
        <f t="shared" ca="1" si="0"/>
        <v>0</v>
      </c>
      <c r="I26" s="12">
        <f t="shared" si="1"/>
        <v>6</v>
      </c>
    </row>
    <row r="27" spans="1:9" ht="27.6" customHeight="1" x14ac:dyDescent="0.3">
      <c r="A27" s="10">
        <v>44935</v>
      </c>
      <c r="B27" s="14" t="s">
        <v>218</v>
      </c>
      <c r="C27" s="13" t="str">
        <f>_xlfn.XLOOKUP(B27,LIBRI!J:J,LIBRI!A:A)</f>
        <v>A Mathematician's apology</v>
      </c>
      <c r="D27">
        <v>13114</v>
      </c>
      <c r="E27">
        <v>3</v>
      </c>
      <c r="F27" s="15">
        <v>44942</v>
      </c>
      <c r="G27">
        <v>9</v>
      </c>
      <c r="H27">
        <f t="shared" ca="1" si="0"/>
        <v>0</v>
      </c>
      <c r="I27" s="12">
        <f t="shared" si="1"/>
        <v>5</v>
      </c>
    </row>
    <row r="28" spans="1:9" ht="27.6" customHeight="1" x14ac:dyDescent="0.3">
      <c r="A28" s="10">
        <v>44911</v>
      </c>
      <c r="B28" s="14" t="s">
        <v>223</v>
      </c>
      <c r="C28" s="13" t="str">
        <f>_xlfn.XLOOKUP(B28,LIBRI!J:J,LIBRI!A:A)</f>
        <v>Canti</v>
      </c>
      <c r="D28">
        <v>12281</v>
      </c>
      <c r="E28">
        <v>6</v>
      </c>
      <c r="F28" s="15">
        <v>44944</v>
      </c>
      <c r="G28">
        <v>5</v>
      </c>
      <c r="H28">
        <f t="shared" ca="1" si="0"/>
        <v>3</v>
      </c>
      <c r="I28" s="12">
        <f t="shared" si="1"/>
        <v>4</v>
      </c>
    </row>
    <row r="29" spans="1:9" ht="27.6" customHeight="1" x14ac:dyDescent="0.3">
      <c r="A29" s="10">
        <v>44909</v>
      </c>
      <c r="B29" s="14" t="s">
        <v>224</v>
      </c>
      <c r="C29" s="13" t="str">
        <f>_xlfn.XLOOKUP(B29,LIBRI!J:J,LIBRI!A:A)</f>
        <v>Hamlet</v>
      </c>
      <c r="D29">
        <v>13114</v>
      </c>
      <c r="E29">
        <v>11</v>
      </c>
      <c r="F29" s="15">
        <v>44935</v>
      </c>
      <c r="G29">
        <v>3</v>
      </c>
      <c r="H29">
        <f t="shared" ca="1" si="0"/>
        <v>0</v>
      </c>
      <c r="I29" s="12">
        <f t="shared" si="1"/>
        <v>3</v>
      </c>
    </row>
    <row r="30" spans="1:9" ht="27.6" customHeight="1" x14ac:dyDescent="0.3">
      <c r="A30" s="10">
        <v>44901</v>
      </c>
      <c r="B30" s="14" t="s">
        <v>219</v>
      </c>
      <c r="C30" s="13" t="str">
        <f>_xlfn.XLOOKUP(B30,LIBRI!J:J,LIBRI!A:A)</f>
        <v>Mandragola</v>
      </c>
      <c r="D30">
        <v>32855</v>
      </c>
      <c r="E30">
        <v>2</v>
      </c>
      <c r="F30" s="15"/>
      <c r="H30">
        <f t="shared" ca="1" si="0"/>
        <v>46</v>
      </c>
      <c r="I30" s="12">
        <f>I31+1</f>
        <v>2</v>
      </c>
    </row>
    <row r="31" spans="1:9" ht="27.6" customHeight="1" x14ac:dyDescent="0.3">
      <c r="A31" s="10">
        <v>44901</v>
      </c>
      <c r="B31" s="14" t="s">
        <v>240</v>
      </c>
      <c r="C31" s="13" t="str">
        <f>_xlfn.XLOOKUP(B31,LIBRI!J:J,LIBRI!A:A)</f>
        <v>Opinioni di un clown</v>
      </c>
      <c r="D31">
        <v>13114</v>
      </c>
      <c r="E31">
        <v>5</v>
      </c>
      <c r="F31" s="15">
        <v>44909</v>
      </c>
      <c r="G31">
        <v>2</v>
      </c>
      <c r="H31">
        <f t="shared" ca="1" si="0"/>
        <v>0</v>
      </c>
      <c r="I31" s="12">
        <f>I32+1</f>
        <v>1</v>
      </c>
    </row>
  </sheetData>
  <phoneticPr fontId="2" type="noConversion"/>
  <pageMargins left="0.7" right="0.7" top="0.75" bottom="0.75" header="0.3" footer="0.3"/>
  <pageSetup paperSize="9" orientation="portrait"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4" id="{237C5D38-FEED-495F-89D6-05F77DD2B0EC}">
            <x14:iconSet custom="1">
              <x14:cfvo type="percent">
                <xm:f>0</xm:f>
              </x14:cfvo>
              <x14:cfvo type="num" gte="0">
                <xm:f>0</xm:f>
              </x14:cfvo>
              <x14:cfvo type="num" gte="0">
                <xm:f>30</xm:f>
              </x14:cfvo>
              <x14:cfIcon iconSet="3TrafficLights1" iconId="2"/>
              <x14:cfIcon iconSet="3TrafficLights1" iconId="1"/>
              <x14:cfIcon iconSet="3TrafficLights1" iconId="0"/>
            </x14:iconSet>
          </x14:cfRule>
          <xm:sqref>H2:H31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AB811-3655-4FF7-BDF1-065B4286EF91}">
  <sheetPr codeName="Sheet6">
    <tabColor theme="4" tint="0.39997558519241921"/>
  </sheetPr>
  <dimension ref="B1:H24"/>
  <sheetViews>
    <sheetView showGridLines="0" showRowColHeaders="0" workbookViewId="0">
      <selection activeCell="B4" sqref="B4"/>
    </sheetView>
  </sheetViews>
  <sheetFormatPr defaultRowHeight="14.4" x14ac:dyDescent="0.3"/>
  <cols>
    <col min="2" max="2" width="26.6640625" customWidth="1"/>
    <col min="4" max="4" width="26.6640625" customWidth="1"/>
    <col min="6" max="6" width="26.6640625" customWidth="1"/>
    <col min="8" max="8" width="26.6640625" customWidth="1"/>
  </cols>
  <sheetData>
    <row r="1" spans="2:8" ht="34.200000000000003" customHeight="1" x14ac:dyDescent="0.3"/>
    <row r="3" spans="2:8" ht="15" thickBot="1" x14ac:dyDescent="0.35">
      <c r="B3" s="18" t="s">
        <v>250</v>
      </c>
      <c r="D3" s="16" t="s">
        <v>251</v>
      </c>
      <c r="F3" s="16" t="s">
        <v>252</v>
      </c>
      <c r="H3" s="16" t="str">
        <f>IF(F4="","",IF(F4="NO","CODICE CLIENTE IN POSSESSO",IF(F4="TITOLO NON TROVATO", "","POSIZIONE LIBRO")))</f>
        <v/>
      </c>
    </row>
    <row r="4" spans="2:8" ht="15" thickBot="1" x14ac:dyDescent="0.35">
      <c r="B4" s="19"/>
      <c r="D4" s="1" t="str">
        <f>IF(B4="","",_xlfn.XLOOKUP(B4,LIBRI!A:A,LIBRI!B:B,""))</f>
        <v/>
      </c>
      <c r="F4" s="1" t="str">
        <f>IF(D4="",IF(B4="","","TITOLO NON TROVATO"),IF(_xlfn.XLOOKUP(B4,LIBRI!A:A,LIBRI!L:L,"")=30,"SÌ","NO"))</f>
        <v/>
      </c>
      <c r="H4" s="20" t="str">
        <f>IF(F4="","",IF(F4="NO",MID(_xlfn.XLOOKUP(B4,LIBRI!A:A,LIBRI!K:K),3,5),IF(F4="TITOLO NON TROVATO", "",_xlfn.XLOOKUP(B4,LIBRI!A:A,LIBRI!J:J))))</f>
        <v/>
      </c>
    </row>
    <row r="5" spans="2:8" ht="9" customHeight="1" x14ac:dyDescent="0.3"/>
    <row r="6" spans="2:8" ht="9" customHeight="1" x14ac:dyDescent="0.3"/>
    <row r="7" spans="2:8" ht="9" customHeight="1" x14ac:dyDescent="0.3"/>
    <row r="8" spans="2:8" ht="9" customHeight="1" x14ac:dyDescent="0.3"/>
    <row r="9" spans="2:8" ht="9" customHeight="1" x14ac:dyDescent="0.3"/>
    <row r="10" spans="2:8" ht="9" customHeight="1" x14ac:dyDescent="0.3"/>
    <row r="11" spans="2:8" ht="9" customHeight="1" x14ac:dyDescent="0.3"/>
    <row r="12" spans="2:8" ht="9" customHeight="1" x14ac:dyDescent="0.3"/>
    <row r="13" spans="2:8" ht="15" thickBot="1" x14ac:dyDescent="0.35">
      <c r="B13" s="18" t="s">
        <v>253</v>
      </c>
      <c r="D13" s="16" t="s">
        <v>254</v>
      </c>
      <c r="F13" s="16" t="s">
        <v>255</v>
      </c>
      <c r="H13" s="16" t="str">
        <f>IF(OR(F14="NO",F14=""),"","AMMENDA MATURATA")</f>
        <v/>
      </c>
    </row>
    <row r="14" spans="2:8" ht="15" thickBot="1" x14ac:dyDescent="0.35">
      <c r="B14" s="19"/>
      <c r="D14" s="1" t="str">
        <f>IF(B14="","",IF(_xlfn.XLOOKUP(B14,UTENTI!A:A,UTENTI!L:L,"a")="","NESSUN LIBRO IN POSSESSO",IF(B14="","",IF(_xlfn.XLOOKUP(B14,PRESTITI!D:D,PRESTITI!F:F,"a")="",_xlfn.XLOOKUP(B14,UTENTI!A:A,UTENTI!L:L),IF(_xlfn.XLOOKUP(B14,UTENTI!A:A,UTENTI!L:L,"a")="a","ERRORE CODICE CLIENTE","NESSUN LIBRO IN POSSESSO")))))</f>
        <v/>
      </c>
      <c r="F14" s="1" t="str">
        <f>IF(OR(D14="",D14="ERRORE CODICE CLIENTE",D14="NESSUN LIBRO IN POSSESSO" ),"",IF(_xlfn.XLOOKUP(B14,UTENTI!A:A,UTENTI!G:G,"")=0,"NO","SÌ"))</f>
        <v/>
      </c>
      <c r="H14" s="20" t="str">
        <f>IF(H13="","",_xlfn.XLOOKUP(B14,UTENTI!A:A,UTENTI!I:I))</f>
        <v/>
      </c>
    </row>
    <row r="16" spans="2:8" x14ac:dyDescent="0.3">
      <c r="D16" s="16" t="str">
        <f>IF(OR(D14="",D14="ERRORE CODICE CLIENTE",D14="NESSUN LIBRO IN POSSESSO"),"","TITOLO")</f>
        <v/>
      </c>
    </row>
    <row r="17" spans="2:8" x14ac:dyDescent="0.3">
      <c r="D17" s="13" t="str">
        <f>IF(OR(D14="",D14="ERRORE CODICE CLIENTE",D14="NESSUN LIBRO IN POSSESSO"),"",_xlfn.XLOOKUP(D14,LIBRI!J:J,LIBRI!A:A))</f>
        <v/>
      </c>
    </row>
    <row r="18" spans="2:8" ht="9" customHeight="1" x14ac:dyDescent="0.3"/>
    <row r="19" spans="2:8" ht="9" customHeight="1" x14ac:dyDescent="0.3"/>
    <row r="20" spans="2:8" ht="9" customHeight="1" x14ac:dyDescent="0.3"/>
    <row r="21" spans="2:8" ht="9" customHeight="1" x14ac:dyDescent="0.3"/>
    <row r="22" spans="2:8" ht="9" customHeight="1" x14ac:dyDescent="0.3"/>
    <row r="23" spans="2:8" ht="15" thickBot="1" x14ac:dyDescent="0.35">
      <c r="B23" s="18" t="s">
        <v>256</v>
      </c>
      <c r="D23" s="16" t="str">
        <f>IF(B24="","","TITOLI DISPONIBILI")</f>
        <v/>
      </c>
    </row>
    <row r="24" spans="2:8" ht="15" thickBot="1" x14ac:dyDescent="0.35">
      <c r="B24" s="19"/>
      <c r="D24" t="str" cm="1">
        <f t="array" ref="D24">IF(B24="","",_xlfn._xlws.FILTER(LIBRI!A2:A25,(LIBRI!D2:D25)=CONSULTAZIONE!B24))</f>
        <v/>
      </c>
      <c r="H24" t="str">
        <f>_xlfn.XLOOKUP(333,UTENTI!A:A,UTENTI!L:L,"")</f>
        <v/>
      </c>
    </row>
  </sheetData>
  <conditionalFormatting sqref="D17">
    <cfRule type="expression" dxfId="3" priority="3">
      <formula>NOT(OR($D$14="",$D$14="ERRORE CODICE CLIENTE",$D$14="NESSUN LIBRO IN POSSESSO"))</formula>
    </cfRule>
  </conditionalFormatting>
  <conditionalFormatting sqref="H14">
    <cfRule type="expression" dxfId="2" priority="2">
      <formula>NOT($H$13="")</formula>
    </cfRule>
  </conditionalFormatting>
  <conditionalFormatting sqref="H4">
    <cfRule type="expression" dxfId="1" priority="1">
      <formula>NOT($H$3="")</formula>
    </cfRule>
  </conditionalFormatting>
  <dataValidations count="1">
    <dataValidation type="list" allowBlank="1" showInputMessage="1" showErrorMessage="1" prompt="Scegli genere" sqref="B24" xr:uid="{8CCF52FF-F114-46A1-95C9-6CFB83B7EEB5}">
      <formula1>Generi</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7735A-5488-4A19-A355-B8650898ABDE}">
  <sheetPr codeName="Sheet8">
    <tabColor rgb="FFFF9933"/>
  </sheetPr>
  <dimension ref="B1:J20"/>
  <sheetViews>
    <sheetView showGridLines="0" workbookViewId="0">
      <selection activeCell="B5" sqref="B5"/>
    </sheetView>
  </sheetViews>
  <sheetFormatPr defaultRowHeight="14.4" x14ac:dyDescent="0.3"/>
  <cols>
    <col min="1" max="1" width="25.5546875" customWidth="1"/>
    <col min="2" max="2" width="15.109375" customWidth="1"/>
    <col min="3" max="3" width="5.33203125" customWidth="1"/>
    <col min="4" max="4" width="15.44140625" customWidth="1"/>
    <col min="5" max="5" width="6" customWidth="1"/>
    <col min="6" max="6" width="22.21875" customWidth="1"/>
    <col min="7" max="7" width="6" customWidth="1"/>
    <col min="8" max="8" width="22.21875" customWidth="1"/>
    <col min="9" max="9" width="8.88671875" customWidth="1"/>
    <col min="10" max="10" width="19.109375" customWidth="1"/>
  </cols>
  <sheetData>
    <row r="1" spans="2:10" ht="51" customHeight="1" x14ac:dyDescent="0.3"/>
    <row r="4" spans="2:10" ht="15" thickBot="1" x14ac:dyDescent="0.35">
      <c r="B4" s="26" t="s">
        <v>270</v>
      </c>
      <c r="D4" s="26" t="s">
        <v>271</v>
      </c>
      <c r="F4" s="26" t="s">
        <v>272</v>
      </c>
      <c r="H4" s="26" t="s">
        <v>273</v>
      </c>
      <c r="I4" s="30"/>
    </row>
    <row r="5" spans="2:10" ht="30" customHeight="1" thickBot="1" x14ac:dyDescent="0.35">
      <c r="B5" s="17"/>
      <c r="D5" s="17"/>
      <c r="F5" s="34" t="str">
        <f>IF(B5="","",IF(_xlfn.XLOOKUP(B5,PRESTITI!D:D,PRESTITI!F:F,"a")="",_xlfn.XLOOKUP(B5,PRESTITI!D:D,PRESTITI!C:C,"Nessun libro in prestito"),"Nessun libro in prestito"))</f>
        <v/>
      </c>
      <c r="H5" s="28" t="str">
        <f>IF(OR(B5="",B5="Nessun libro in prestito"),"",_xlfn.XLOOKUP(B5,UTENTI!A:A,UTENTI!I:I,""))</f>
        <v/>
      </c>
      <c r="I5" s="29"/>
    </row>
    <row r="7" spans="2:10" ht="15" thickBot="1" x14ac:dyDescent="0.35">
      <c r="F7" s="26" t="s">
        <v>276</v>
      </c>
    </row>
    <row r="8" spans="2:10" ht="15" thickBot="1" x14ac:dyDescent="0.35">
      <c r="F8" s="17" t="str">
        <f>IF(OR(B5="",F5="Nessun libro in prestito"),"",_xlfn.XLOOKUP(B5,UTENTI!A:A,UTENTI!L:L," "))</f>
        <v/>
      </c>
    </row>
    <row r="10" spans="2:10" ht="53.4" customHeight="1" x14ac:dyDescent="0.3"/>
    <row r="11" spans="2:10" x14ac:dyDescent="0.3">
      <c r="I11" s="31"/>
    </row>
    <row r="12" spans="2:10" x14ac:dyDescent="0.3">
      <c r="I12" s="31"/>
    </row>
    <row r="13" spans="2:10" x14ac:dyDescent="0.3">
      <c r="I13" s="31"/>
    </row>
    <row r="14" spans="2:10" ht="15" thickBot="1" x14ac:dyDescent="0.35">
      <c r="B14" s="27" t="s">
        <v>270</v>
      </c>
      <c r="D14" s="27" t="s">
        <v>271</v>
      </c>
      <c r="F14" s="27" t="s">
        <v>274</v>
      </c>
      <c r="H14" s="27" t="s">
        <v>275</v>
      </c>
      <c r="I14" s="31"/>
      <c r="J14" s="27" t="str">
        <f>IF(OR(F15="SÌ",F15=""),"DURATA PRESTITO","GIORNI DI INIBIZIONE")</f>
        <v>DURATA PRESTITO</v>
      </c>
    </row>
    <row r="15" spans="2:10" ht="30" customHeight="1" thickBot="1" x14ac:dyDescent="0.35">
      <c r="B15" s="17"/>
      <c r="D15" s="17"/>
      <c r="F15" s="17" t="str">
        <f>IF(B15="","",IF(OR(_xlfn.XLOOKUP(B15,UTENTI!A:A,UTENTI!K:K,"a")=0,_xlfn.XLOOKUP(B15,PRESTITI!D:D,PRESTITI!F:F,"a")=""),"NO",IF(_xlfn.XLOOKUP(B15,UTENTI!A:A,UTENTI!K:K,"a")=1,"SÌ","ID UTENTE NON VALIDO")))</f>
        <v/>
      </c>
      <c r="H15" s="33"/>
      <c r="I15" s="32"/>
      <c r="J15" s="28" t="str">
        <f>IF(AND(F15="SÌ",NOT(H15="")),30,"")</f>
        <v/>
      </c>
    </row>
    <row r="16" spans="2:10" x14ac:dyDescent="0.3">
      <c r="I16" s="31"/>
    </row>
    <row r="17" spans="8:9" ht="15" thickBot="1" x14ac:dyDescent="0.35">
      <c r="H17" s="27" t="s">
        <v>276</v>
      </c>
      <c r="I17" s="31"/>
    </row>
    <row r="18" spans="8:9" ht="15" thickBot="1" x14ac:dyDescent="0.35">
      <c r="H18" s="17"/>
      <c r="I18" s="31"/>
    </row>
    <row r="19" spans="8:9" x14ac:dyDescent="0.3">
      <c r="I19" s="31"/>
    </row>
    <row r="20" spans="8:9" x14ac:dyDescent="0.3">
      <c r="I20" s="31"/>
    </row>
  </sheetData>
  <conditionalFormatting sqref="H5:I5">
    <cfRule type="expression" dxfId="0" priority="1">
      <formula>OR(NOT(F5="Nessun libro in prestito"),NOT($B$5=""))</formula>
    </cfRule>
  </conditionalFormatting>
  <dataValidations count="1">
    <dataValidation type="list" showInputMessage="1" showErrorMessage="1" error="Questo titolo non è al momento disponibile." sqref="H15" xr:uid="{80373B1E-FC00-40EE-93D5-AF944FABAE5F}">
      <formula1>Titolidisponibili</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65" r:id="rId4" name="CommandButton1">
          <controlPr defaultSize="0" autoLine="0" r:id="rId5">
            <anchor moveWithCells="1">
              <from>
                <xdr:col>10</xdr:col>
                <xdr:colOff>556260</xdr:colOff>
                <xdr:row>12</xdr:row>
                <xdr:rowOff>167640</xdr:rowOff>
              </from>
              <to>
                <xdr:col>13</xdr:col>
                <xdr:colOff>99060</xdr:colOff>
                <xdr:row>14</xdr:row>
                <xdr:rowOff>373380</xdr:rowOff>
              </to>
            </anchor>
          </controlPr>
        </control>
      </mc:Choice>
      <mc:Fallback>
        <control shapeId="11265" r:id="rId4" name="CommandButton1"/>
      </mc:Fallback>
    </mc:AlternateContent>
    <mc:AlternateContent xmlns:mc="http://schemas.openxmlformats.org/markup-compatibility/2006">
      <mc:Choice Requires="x14">
        <control shapeId="11271" r:id="rId6" name="CommandButton2">
          <controlPr defaultSize="0" autoLine="0" r:id="rId7">
            <anchor moveWithCells="1">
              <from>
                <xdr:col>8</xdr:col>
                <xdr:colOff>518160</xdr:colOff>
                <xdr:row>3</xdr:row>
                <xdr:rowOff>7620</xdr:rowOff>
              </from>
              <to>
                <xdr:col>9</xdr:col>
                <xdr:colOff>1234440</xdr:colOff>
                <xdr:row>5</xdr:row>
                <xdr:rowOff>30480</xdr:rowOff>
              </to>
            </anchor>
          </controlPr>
        </control>
      </mc:Choice>
      <mc:Fallback>
        <control shapeId="11271" r:id="rId6" name="CommandButto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571EDD1D-5AB6-4DDB-99A4-2245B1C31D6F}">
          <x14:formula1>
            <xm:f>'COLLABORATORI'!$A$3:$A$12</xm:f>
          </x14:formula1>
          <xm:sqref>D5 D15</xm:sqref>
        </x14:dataValidation>
        <x14:dataValidation type="list" allowBlank="1" showDropDown="1" showInputMessage="1" showErrorMessage="1" error="Questo ID cliente non è valido_x000a_" xr:uid="{769E676E-0D69-4A3C-A95F-E9D330E575A3}">
          <x14:formula1>
            <xm:f>UTENTI!$A$2:$A$15</xm:f>
          </x14:formula1>
          <xm:sqref>B5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FF60E-305A-457E-A262-DE506A150E5C}">
  <sheetPr codeName="Sheet9"/>
  <dimension ref="B2:G20"/>
  <sheetViews>
    <sheetView showGridLines="0" showRowColHeaders="0" workbookViewId="0">
      <selection activeCell="B3" sqref="B3"/>
    </sheetView>
  </sheetViews>
  <sheetFormatPr defaultColWidth="8.6640625" defaultRowHeight="14.4" x14ac:dyDescent="0.3"/>
  <cols>
    <col min="1" max="1" width="2.109375" customWidth="1"/>
    <col min="2" max="2" width="15.21875" customWidth="1"/>
    <col min="3" max="3" width="12.5546875" customWidth="1"/>
    <col min="4" max="4" width="20.5546875" customWidth="1"/>
    <col min="8" max="8" width="13.88671875" customWidth="1"/>
    <col min="10" max="10" width="17.5546875" customWidth="1"/>
  </cols>
  <sheetData>
    <row r="2" spans="2:7" ht="13.8" customHeight="1" x14ac:dyDescent="0.3">
      <c r="B2" s="22" t="s">
        <v>280</v>
      </c>
      <c r="C2" s="22" t="s">
        <v>257</v>
      </c>
      <c r="D2" s="22" t="s">
        <v>258</v>
      </c>
    </row>
    <row r="3" spans="2:7" x14ac:dyDescent="0.3">
      <c r="B3" s="1">
        <v>2</v>
      </c>
      <c r="C3" s="1">
        <f ca="1">_xlfn.FLOOR.MATH(YEARFRAC(_xlfn.XLOOKUP(B3,'COLLABORATORI'!A2:A12,'COLLABORATORI'!E2:E12),TODAY()))</f>
        <v>64</v>
      </c>
      <c r="D3" s="1">
        <f>COUNTIF(PRESTITI!E:E,B3)+COUNTIF(PRESTITI!G:G,B3)</f>
        <v>9</v>
      </c>
    </row>
    <row r="4" spans="2:7" x14ac:dyDescent="0.3">
      <c r="B4" s="1">
        <v>3</v>
      </c>
      <c r="C4" s="1">
        <f ca="1">_xlfn.FLOOR.MATH(YEARFRAC(_xlfn.XLOOKUP(B4,'COLLABORATORI'!A3:A13,'COLLABORATORI'!E3:E13),TODAY()))</f>
        <v>44</v>
      </c>
      <c r="D4" s="1">
        <f>COUNTIF(PRESTITI!E:E,B4)+COUNTIF(PRESTITI!G:G,B4)</f>
        <v>5</v>
      </c>
    </row>
    <row r="5" spans="2:7" x14ac:dyDescent="0.3">
      <c r="B5" s="1">
        <v>4</v>
      </c>
      <c r="C5" s="1">
        <f ca="1">_xlfn.FLOOR.MATH(YEARFRAC(_xlfn.XLOOKUP(B5,'COLLABORATORI'!A4:A14,'COLLABORATORI'!E4:E14),TODAY()))</f>
        <v>34</v>
      </c>
      <c r="D5" s="1">
        <f>COUNTIF(PRESTITI!E:E,B5)+COUNTIF(PRESTITI!G:G,B5)</f>
        <v>3</v>
      </c>
    </row>
    <row r="6" spans="2:7" x14ac:dyDescent="0.3">
      <c r="B6" s="1">
        <v>5</v>
      </c>
      <c r="C6" s="1">
        <f ca="1">_xlfn.FLOOR.MATH(YEARFRAC(_xlfn.XLOOKUP(B6,'COLLABORATORI'!A5:A15,'COLLABORATORI'!E5:E15),TODAY()))</f>
        <v>45</v>
      </c>
      <c r="D6" s="1">
        <f>COUNTIF(PRESTITI!E:E,B6)+COUNTIF(PRESTITI!G:G,B6)</f>
        <v>5</v>
      </c>
    </row>
    <row r="7" spans="2:7" x14ac:dyDescent="0.3">
      <c r="B7" s="1">
        <v>6</v>
      </c>
      <c r="C7" s="1">
        <f ca="1">_xlfn.FLOOR.MATH(YEARFRAC(_xlfn.XLOOKUP(B7,'COLLABORATORI'!A6:A16,'COLLABORATORI'!E6:E16),TODAY()))</f>
        <v>55</v>
      </c>
      <c r="D7" s="1">
        <f>COUNTIF(PRESTITI!E:E,B7)+COUNTIF(PRESTITI!G:G,B7)</f>
        <v>5</v>
      </c>
    </row>
    <row r="8" spans="2:7" x14ac:dyDescent="0.3">
      <c r="B8" s="1">
        <v>7</v>
      </c>
      <c r="C8" s="1">
        <f ca="1">_xlfn.FLOOR.MATH(YEARFRAC(_xlfn.XLOOKUP(B8,'COLLABORATORI'!A7:A17,'COLLABORATORI'!E7:E17),TODAY()))</f>
        <v>31</v>
      </c>
      <c r="D8" s="1">
        <f>COUNTIF(PRESTITI!E:E,B8)+COUNTIF(PRESTITI!G:G,B8)</f>
        <v>2</v>
      </c>
    </row>
    <row r="9" spans="2:7" x14ac:dyDescent="0.3">
      <c r="B9" s="1">
        <v>8</v>
      </c>
      <c r="C9" s="1">
        <f ca="1">_xlfn.FLOOR.MATH(YEARFRAC(_xlfn.XLOOKUP(B9,'COLLABORATORI'!A8:A18,'COLLABORATORI'!E8:E18),TODAY()))</f>
        <v>53</v>
      </c>
      <c r="D9" s="1">
        <f>COUNTIF(PRESTITI!E:E,B9)+COUNTIF(PRESTITI!G:G,B9)</f>
        <v>6</v>
      </c>
    </row>
    <row r="10" spans="2:7" x14ac:dyDescent="0.3">
      <c r="B10" s="1">
        <v>9</v>
      </c>
      <c r="C10" s="1">
        <f ca="1">_xlfn.FLOOR.MATH(YEARFRAC(_xlfn.XLOOKUP(B10,'COLLABORATORI'!A9:A19,'COLLABORATORI'!E9:E19),TODAY()))</f>
        <v>22</v>
      </c>
      <c r="D10" s="1">
        <f>COUNTIF(PRESTITI!E:E,B10)+COUNTIF(PRESTITI!G:G,B10)</f>
        <v>3</v>
      </c>
    </row>
    <row r="11" spans="2:7" x14ac:dyDescent="0.3">
      <c r="B11" s="1">
        <v>10</v>
      </c>
      <c r="C11" s="1">
        <f ca="1">_xlfn.FLOOR.MATH(YEARFRAC(_xlfn.XLOOKUP(B11,'COLLABORATORI'!A10:A20,'COLLABORATORI'!E10:E20),TODAY()))</f>
        <v>21</v>
      </c>
      <c r="D11" s="1">
        <f>COUNTIF(PRESTITI!E:E,B11)+COUNTIF(PRESTITI!G:G,B11)</f>
        <v>4</v>
      </c>
    </row>
    <row r="12" spans="2:7" x14ac:dyDescent="0.3">
      <c r="B12" s="1">
        <v>11</v>
      </c>
      <c r="C12" s="1">
        <f ca="1">_xlfn.FLOOR.MATH(YEARFRAC(_xlfn.XLOOKUP(B12,'COLLABORATORI'!A11:A21,'COLLABORATORI'!E11:E21),TODAY()))</f>
        <v>36</v>
      </c>
      <c r="D12" s="1">
        <f>COUNTIF(PRESTITI!E:E,B12)+COUNTIF(PRESTITI!G:G,B12)</f>
        <v>7</v>
      </c>
    </row>
    <row r="15" spans="2:7" x14ac:dyDescent="0.3">
      <c r="C15" s="22" t="s">
        <v>266</v>
      </c>
      <c r="D15" s="22" t="s">
        <v>260</v>
      </c>
      <c r="G15" t="s">
        <v>100</v>
      </c>
    </row>
    <row r="16" spans="2:7" x14ac:dyDescent="0.3">
      <c r="C16" s="1" t="s">
        <v>261</v>
      </c>
      <c r="D16" s="23" cm="1">
        <f t="array" aca="1" ref="D16" ca="1">AVERAGE(_xlfn._xlws.FILTER(D$3:D$12,((C$3:C$12)&lt;VALUE(MID(C16,4,2)+1))*((C$3:C$12)&gt;VALUE(MID(C16,1,2)-1))))</f>
        <v>3.5</v>
      </c>
    </row>
    <row r="17" spans="3:4" x14ac:dyDescent="0.3">
      <c r="C17" s="1" t="s">
        <v>262</v>
      </c>
      <c r="D17" s="23" cm="1">
        <f t="array" aca="1" ref="D17" ca="1">AVERAGE(_xlfn._xlws.FILTER(D$3:D$12,((C$3:C$12)&lt;VALUE(MID(C17,4,2)+1))*((C$3:C$12)&gt;VALUE(MID(C17,1,2)-1))))</f>
        <v>4</v>
      </c>
    </row>
    <row r="18" spans="3:4" x14ac:dyDescent="0.3">
      <c r="C18" s="1" t="s">
        <v>263</v>
      </c>
      <c r="D18" s="23" cm="1">
        <f t="array" aca="1" ref="D18" ca="1">AVERAGE(_xlfn._xlws.FILTER(D$3:D$12,((C$3:C$12)&lt;VALUE(MID(C18,4,2)+1))*((C$3:C$12)&gt;VALUE(MID(C18,1,2)-1))))</f>
        <v>5</v>
      </c>
    </row>
    <row r="19" spans="3:4" x14ac:dyDescent="0.3">
      <c r="C19" s="1" t="s">
        <v>264</v>
      </c>
      <c r="D19" s="23" cm="1">
        <f t="array" aca="1" ref="D19" ca="1">AVERAGE(_xlfn._xlws.FILTER(D$3:D$12,((C$3:C$12)&lt;VALUE(MID(C19,4,2)+1))*((C$3:C$12)&gt;VALUE(MID(C19,1,2)-1))))</f>
        <v>5.5</v>
      </c>
    </row>
    <row r="20" spans="3:4" x14ac:dyDescent="0.3">
      <c r="C20" s="1" t="s">
        <v>265</v>
      </c>
      <c r="D20" s="23" cm="1">
        <f t="array" aca="1" ref="D20" ca="1">AVERAGE(_xlfn._xlws.FILTER(D$3:D$12,((C$3:C$12)&lt;VALUE(MID(C20,4,2)+1))*((C$3:C$12)&gt;VALUE(MID(C20,1,2)-1))))</f>
        <v>9</v>
      </c>
    </row>
  </sheetData>
  <pageMargins left="0.7" right="0.7" top="0.75" bottom="0.75" header="0.3" footer="0.3"/>
  <pageSetup paperSize="9" orientation="portrait" r:id="rId1"/>
  <ignoredErrors>
    <ignoredError sqref="C4:C5 C6:C12" formulaRange="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38CE79-ACDE-4B37-BAC5-7A7F1C595F53}">
  <sheetPr codeName="Sheet10"/>
  <dimension ref="B2:D26"/>
  <sheetViews>
    <sheetView showGridLines="0" showRowColHeaders="0" workbookViewId="0">
      <selection activeCell="B3" sqref="B3"/>
    </sheetView>
  </sheetViews>
  <sheetFormatPr defaultRowHeight="14.4" x14ac:dyDescent="0.3"/>
  <cols>
    <col min="1" max="1" width="3" customWidth="1"/>
    <col min="2" max="2" width="13.109375" customWidth="1"/>
    <col min="3" max="3" width="11.109375" customWidth="1"/>
    <col min="4" max="4" width="17.109375" customWidth="1"/>
  </cols>
  <sheetData>
    <row r="2" spans="2:4" x14ac:dyDescent="0.3">
      <c r="B2" s="22" t="s">
        <v>248</v>
      </c>
      <c r="C2" s="22" t="s">
        <v>257</v>
      </c>
      <c r="D2" s="22" t="s">
        <v>259</v>
      </c>
    </row>
    <row r="3" spans="2:4" x14ac:dyDescent="0.3">
      <c r="B3" s="1">
        <v>31968</v>
      </c>
      <c r="C3" s="1">
        <f ca="1">_xlfn.FLOOR.MATH(YEARFRAC(_xlfn.XLOOKUP(B3,UTENTI!A:A,UTENTI!D:D),TODAY()))</f>
        <v>75</v>
      </c>
      <c r="D3" s="1">
        <f>COUNTIF(PRESTITI!D:D,B3)</f>
        <v>2</v>
      </c>
    </row>
    <row r="4" spans="2:4" x14ac:dyDescent="0.3">
      <c r="B4" s="1">
        <v>5463</v>
      </c>
      <c r="C4" s="1">
        <f ca="1">_xlfn.FLOOR.MATH(YEARFRAC(_xlfn.XLOOKUP(B4,UTENTI!A:A,UTENTI!D:D),TODAY()))</f>
        <v>55</v>
      </c>
      <c r="D4" s="1">
        <f>COUNTIF(PRESTITI!D:D,B4)</f>
        <v>2</v>
      </c>
    </row>
    <row r="5" spans="2:4" x14ac:dyDescent="0.3">
      <c r="B5" s="1">
        <v>18639</v>
      </c>
      <c r="C5" s="1">
        <f ca="1">_xlfn.FLOOR.MATH(YEARFRAC(_xlfn.XLOOKUP(B5,UTENTI!A:A,UTENTI!D:D),TODAY()))</f>
        <v>39</v>
      </c>
      <c r="D5" s="1">
        <f>COUNTIF(PRESTITI!D:D,B5)</f>
        <v>2</v>
      </c>
    </row>
    <row r="6" spans="2:4" x14ac:dyDescent="0.3">
      <c r="B6" s="1">
        <v>12281</v>
      </c>
      <c r="C6" s="1">
        <f ca="1">_xlfn.FLOOR.MATH(YEARFRAC(_xlfn.XLOOKUP(B6,UTENTI!A:A,UTENTI!D:D),TODAY()))</f>
        <v>68</v>
      </c>
      <c r="D6" s="1">
        <f>COUNTIF(PRESTITI!D:D,B6)</f>
        <v>2</v>
      </c>
    </row>
    <row r="7" spans="2:4" x14ac:dyDescent="0.3">
      <c r="B7" s="1">
        <v>15642</v>
      </c>
      <c r="C7" s="1">
        <f ca="1">_xlfn.FLOOR.MATH(YEARFRAC(_xlfn.XLOOKUP(B7,UTENTI!A:A,UTENTI!D:D),TODAY()))</f>
        <v>31</v>
      </c>
      <c r="D7" s="1">
        <f>COUNTIF(PRESTITI!D:D,B7)</f>
        <v>0</v>
      </c>
    </row>
    <row r="8" spans="2:4" x14ac:dyDescent="0.3">
      <c r="B8" s="1">
        <v>28957</v>
      </c>
      <c r="C8" s="1">
        <f ca="1">_xlfn.FLOOR.MATH(YEARFRAC(_xlfn.XLOOKUP(B8,UTENTI!A:A,UTENTI!D:D),TODAY()))</f>
        <v>28</v>
      </c>
      <c r="D8" s="1">
        <f>COUNTIF(PRESTITI!D:D,B8)</f>
        <v>1</v>
      </c>
    </row>
    <row r="9" spans="2:4" x14ac:dyDescent="0.3">
      <c r="B9" s="1">
        <v>32855</v>
      </c>
      <c r="C9" s="1">
        <f ca="1">_xlfn.FLOOR.MATH(YEARFRAC(_xlfn.XLOOKUP(B9,UTENTI!A:A,UTENTI!D:D),TODAY()))</f>
        <v>22</v>
      </c>
      <c r="D9" s="1">
        <f>COUNTIF(PRESTITI!D:D,B9)</f>
        <v>1</v>
      </c>
    </row>
    <row r="10" spans="2:4" x14ac:dyDescent="0.3">
      <c r="B10" s="1">
        <v>31947</v>
      </c>
      <c r="C10" s="1">
        <f ca="1">_xlfn.FLOOR.MATH(YEARFRAC(_xlfn.XLOOKUP(B10,UTENTI!A:A,UTENTI!D:D),TODAY()))</f>
        <v>61</v>
      </c>
      <c r="D10" s="1">
        <f>COUNTIF(PRESTITI!D:D,B10)</f>
        <v>1</v>
      </c>
    </row>
    <row r="11" spans="2:4" x14ac:dyDescent="0.3">
      <c r="B11" s="1">
        <v>13114</v>
      </c>
      <c r="C11" s="1">
        <f ca="1">_xlfn.FLOOR.MATH(YEARFRAC(_xlfn.XLOOKUP(B11,UTENTI!A:A,UTENTI!D:D),TODAY()))</f>
        <v>23</v>
      </c>
      <c r="D11" s="1">
        <f>COUNTIF(PRESTITI!D:D,B11)</f>
        <v>7</v>
      </c>
    </row>
    <row r="12" spans="2:4" x14ac:dyDescent="0.3">
      <c r="B12" s="1">
        <v>6216</v>
      </c>
      <c r="C12" s="1">
        <f ca="1">_xlfn.FLOOR.MATH(YEARFRAC(_xlfn.XLOOKUP(B12,UTENTI!A:A,UTENTI!D:D),TODAY()))</f>
        <v>19</v>
      </c>
      <c r="D12" s="1">
        <f>COUNTIF(PRESTITI!D:D,B12)</f>
        <v>3</v>
      </c>
    </row>
    <row r="13" spans="2:4" x14ac:dyDescent="0.3">
      <c r="B13" s="1">
        <v>17017</v>
      </c>
      <c r="C13" s="1">
        <f ca="1">_xlfn.FLOOR.MATH(YEARFRAC(_xlfn.XLOOKUP(B13,UTENTI!A:A,UTENTI!D:D),TODAY()))</f>
        <v>49</v>
      </c>
      <c r="D13" s="1">
        <f>COUNTIF(PRESTITI!D:D,B13)</f>
        <v>2</v>
      </c>
    </row>
    <row r="14" spans="2:4" x14ac:dyDescent="0.3">
      <c r="B14" s="1">
        <v>5077</v>
      </c>
      <c r="C14" s="1">
        <f ca="1">_xlfn.FLOOR.MATH(YEARFRAC(_xlfn.XLOOKUP(B14,UTENTI!A:A,UTENTI!D:D),TODAY()))</f>
        <v>63</v>
      </c>
      <c r="D14" s="1">
        <f>COUNTIF(PRESTITI!D:D,B14)</f>
        <v>2</v>
      </c>
    </row>
    <row r="15" spans="2:4" x14ac:dyDescent="0.3">
      <c r="B15" s="1">
        <v>33320</v>
      </c>
      <c r="C15" s="1">
        <f ca="1">_xlfn.FLOOR.MATH(YEARFRAC(_xlfn.XLOOKUP(B15,UTENTI!A:A,UTENTI!D:D),TODAY()))</f>
        <v>56</v>
      </c>
      <c r="D15" s="1">
        <f>COUNTIF(PRESTITI!D:D,B15)</f>
        <v>3</v>
      </c>
    </row>
    <row r="16" spans="2:4" x14ac:dyDescent="0.3">
      <c r="B16" s="1">
        <v>17306</v>
      </c>
      <c r="C16" s="1">
        <f ca="1">_xlfn.FLOOR.MATH(YEARFRAC(_xlfn.XLOOKUP(B16,UTENTI!A:A,UTENTI!D:D),TODAY()))</f>
        <v>84</v>
      </c>
      <c r="D16" s="1">
        <f>COUNTIF(PRESTITI!D:D,B16)</f>
        <v>2</v>
      </c>
    </row>
    <row r="19" spans="3:4" x14ac:dyDescent="0.3">
      <c r="C19" s="22" t="s">
        <v>266</v>
      </c>
      <c r="D19" s="22" t="s">
        <v>269</v>
      </c>
    </row>
    <row r="20" spans="3:4" x14ac:dyDescent="0.3">
      <c r="C20" s="1" t="s">
        <v>261</v>
      </c>
      <c r="D20" s="24" cm="1">
        <f t="array" aca="1" ref="D20" ca="1">AVERAGE(_xlfn._xlws.FILTER(D$3:D$16,((C$3:C$16)&lt;VALUE(MID(C20,4,2)+1))*((C$3:C$16)&gt;VALUE(MID(C20,1,2)-1))))</f>
        <v>3</v>
      </c>
    </row>
    <row r="21" spans="3:4" x14ac:dyDescent="0.3">
      <c r="C21" s="1" t="s">
        <v>262</v>
      </c>
      <c r="D21" s="24" cm="1">
        <f t="array" aca="1" ref="D21" ca="1">AVERAGE(_xlfn._xlws.FILTER(D$3:D$16,((C$3:C$16)&lt;VALUE(MID(C21,4,2)+1))*((C$3:C$16)&gt;VALUE(MID(C21,1,2)-1))))</f>
        <v>1</v>
      </c>
    </row>
    <row r="22" spans="3:4" x14ac:dyDescent="0.3">
      <c r="C22" s="1" t="s">
        <v>263</v>
      </c>
      <c r="D22" s="24" cm="1">
        <f t="array" aca="1" ref="D22" ca="1">AVERAGE(_xlfn._xlws.FILTER(D$3:D$16,((C$3:C$16)&lt;VALUE(MID(C22,4,2)+1))*((C$3:C$16)&gt;VALUE(MID(C22,1,2)-1))))</f>
        <v>2</v>
      </c>
    </row>
    <row r="23" spans="3:4" x14ac:dyDescent="0.3">
      <c r="C23" s="1" t="s">
        <v>264</v>
      </c>
      <c r="D23" s="24" cm="1">
        <f t="array" aca="1" ref="D23" ca="1">AVERAGE(_xlfn._xlws.FILTER(D$3:D$16,((C$3:C$16)&lt;VALUE(MID(C23,4,2)+1))*((C$3:C$16)&gt;VALUE(MID(C23,1,2)-1))))</f>
        <v>2.5</v>
      </c>
    </row>
    <row r="24" spans="3:4" x14ac:dyDescent="0.3">
      <c r="C24" s="1" t="s">
        <v>265</v>
      </c>
      <c r="D24" s="23" cm="1">
        <f t="array" aca="1" ref="D24" ca="1">AVERAGE(_xlfn._xlws.FILTER(D$3:D$16,((C$3:C$16)&lt;VALUE(MID(C24,4,2)+1))*((C$3:C$16)&gt;VALUE(MID(C24,1,2)-1))))</f>
        <v>1.6666666666666667</v>
      </c>
    </row>
    <row r="25" spans="3:4" x14ac:dyDescent="0.3">
      <c r="C25" s="1" t="s">
        <v>267</v>
      </c>
      <c r="D25" s="24" cm="1">
        <f t="array" aca="1" ref="D25" ca="1">AVERAGE(_xlfn._xlws.FILTER(D$3:D$16,((C$3:C$16)&lt;VALUE(MID(C25,4,2)+1))*((C$3:C$16)&gt;VALUE(MID(C25,1,2)-1))))</f>
        <v>2</v>
      </c>
    </row>
    <row r="26" spans="3:4" x14ac:dyDescent="0.3">
      <c r="C26" s="1" t="s">
        <v>268</v>
      </c>
      <c r="D26" s="24" cm="1">
        <f t="array" aca="1" ref="D26" ca="1">AVERAGE(_xlfn._xlws.FILTER(D$3:D$16,((C$3:C$16)&lt;VALUE(MID(C26,4,2)+1))*((C$3:C$16)&gt;VALUE(MID(C26,1,2)-1))))</f>
        <v>2</v>
      </c>
    </row>
  </sheetData>
  <phoneticPr fontId="2"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4BB18-30CB-4CFE-BB13-BE5B64F40B75}">
  <sheetPr codeName="Sheet7"/>
  <dimension ref="A1:D13"/>
  <sheetViews>
    <sheetView workbookViewId="0">
      <selection activeCell="D1" sqref="D1"/>
    </sheetView>
  </sheetViews>
  <sheetFormatPr defaultRowHeight="14.4" x14ac:dyDescent="0.3"/>
  <cols>
    <col min="1" max="1" width="17.5546875" customWidth="1"/>
    <col min="4" max="4" width="26.77734375" customWidth="1"/>
  </cols>
  <sheetData>
    <row r="1" spans="1:4" x14ac:dyDescent="0.3">
      <c r="A1" s="21" t="str" cm="1">
        <f t="array" ref="A1:A9">_xlfn._xlws.SORT(_xlfn.UNIQUE(Libri[Genere],0,0))</f>
        <v>Epistola</v>
      </c>
      <c r="D1" t="str" cm="1">
        <f t="array" ref="D1:D13">_xlfn._xlws.FILTER(LIBRI!A:A,(LIBRI!L:L)=30)</f>
        <v>A Mathematician's apology</v>
      </c>
    </row>
    <row r="2" spans="1:4" x14ac:dyDescent="0.3">
      <c r="A2" s="21" t="str">
        <v>Giallo</v>
      </c>
      <c r="D2" t="str">
        <v>Canti</v>
      </c>
    </row>
    <row r="3" spans="1:4" x14ac:dyDescent="0.3">
      <c r="A3" s="21" t="str">
        <v>Memoir</v>
      </c>
      <c r="D3" t="str">
        <v>Hamlet</v>
      </c>
    </row>
    <row r="4" spans="1:4" x14ac:dyDescent="0.3">
      <c r="A4" s="21" t="str">
        <v>Opera teatrale</v>
      </c>
      <c r="D4" t="str">
        <v>Vita di Galileo</v>
      </c>
    </row>
    <row r="5" spans="1:4" x14ac:dyDescent="0.3">
      <c r="A5" s="21" t="str">
        <v>Poesia</v>
      </c>
      <c r="D5" t="str">
        <v>Il principe</v>
      </c>
    </row>
    <row r="6" spans="1:4" x14ac:dyDescent="0.3">
      <c r="A6" s="21" t="str">
        <v>Raccolta</v>
      </c>
      <c r="D6" t="str">
        <v>Senza sangue</v>
      </c>
    </row>
    <row r="7" spans="1:4" x14ac:dyDescent="0.3">
      <c r="A7" s="21" t="str">
        <v>Racconti</v>
      </c>
      <c r="D7" t="str">
        <v>Simposio</v>
      </c>
    </row>
    <row r="8" spans="1:4" x14ac:dyDescent="0.3">
      <c r="A8" s="21" t="str">
        <v>Romanzo</v>
      </c>
      <c r="D8" t="str">
        <v>Il lupo della steppa</v>
      </c>
    </row>
    <row r="9" spans="1:4" x14ac:dyDescent="0.3">
      <c r="A9" s="21" t="str">
        <v>Saggio</v>
      </c>
      <c r="D9" t="str">
        <v>Controcorrente</v>
      </c>
    </row>
    <row r="10" spans="1:4" x14ac:dyDescent="0.3">
      <c r="D10" t="str">
        <v>Monarchia</v>
      </c>
    </row>
    <row r="11" spans="1:4" x14ac:dyDescent="0.3">
      <c r="D11" t="str">
        <v>La sonata a Kreutzer</v>
      </c>
    </row>
    <row r="12" spans="1:4" x14ac:dyDescent="0.3">
      <c r="D12" t="str">
        <v>Il valzer degli addii</v>
      </c>
    </row>
    <row r="13" spans="1:4" x14ac:dyDescent="0.3">
      <c r="D13" t="str">
        <v>Facezie</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QUESTIONARIO</vt:lpstr>
      <vt:lpstr>COLLABORATORI</vt:lpstr>
      <vt:lpstr>UTENTI</vt:lpstr>
      <vt:lpstr>LIBRI</vt:lpstr>
      <vt:lpstr>PRESTITI</vt:lpstr>
      <vt:lpstr>CONSULTAZIONE</vt:lpstr>
      <vt:lpstr>GESTIONALE</vt:lpstr>
      <vt:lpstr>STATISTICHE DIPENDENTI</vt:lpstr>
      <vt:lpstr>STATISTICHE UTENTI</vt:lpstr>
      <vt:lpstr>FOGLIO TECNICO</vt:lpstr>
      <vt:lpstr>Generi</vt:lpstr>
      <vt:lpstr>Gestionale</vt:lpstr>
      <vt:lpstr>Titolidisponibili</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Federico Bonan</dc:creator>
  <cp:lastModifiedBy>Giulio Carron</cp:lastModifiedBy>
  <dcterms:created xsi:type="dcterms:W3CDTF">2023-02-14T19:22:21Z</dcterms:created>
  <dcterms:modified xsi:type="dcterms:W3CDTF">2023-02-20T18:00:10Z</dcterms:modified>
</cp:coreProperties>
</file>